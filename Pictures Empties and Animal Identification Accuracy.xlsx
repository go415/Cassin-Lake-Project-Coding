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aguartamu-my.sharepoint.com/personal/golal01_jaguar_tamu_edu/Documents/"/>
    </mc:Choice>
  </mc:AlternateContent>
  <xr:revisionPtr revIDLastSave="9528" documentId="11_E60897F41BE170836B02CE998F75CCDC64E183C8" xr6:coauthVersionLast="47" xr6:coauthVersionMax="47" xr10:uidLastSave="{9A36A65C-1B70-472D-BFE9-D245C61F03CC}"/>
  <bookViews>
    <workbookView xWindow="-98" yWindow="-98" windowWidth="21795" windowHeight="14235" firstSheet="9" activeTab="12" xr2:uid="{00000000-000D-0000-FFFF-FFFF00000000}"/>
  </bookViews>
  <sheets>
    <sheet name="Pictures Accuracy Template" sheetId="11" r:id="rId1"/>
    <sheet name="Original Pictures" sheetId="6" r:id="rId2"/>
    <sheet name="Original Pictures Accuracy " sheetId="9" r:id="rId3"/>
    <sheet name="4-15 Pictures" sheetId="1" r:id="rId4"/>
    <sheet name="4-15 Pictures Accuracy" sheetId="10" r:id="rId5"/>
    <sheet name="6-6 Pictures" sheetId="2" r:id="rId6"/>
    <sheet name="6-6 Pictures Accuracy" sheetId="12" r:id="rId7"/>
    <sheet name="7-31 Pictures" sheetId="3" r:id="rId8"/>
    <sheet name="7-31 Pictures Accuracy" sheetId="13" r:id="rId9"/>
    <sheet name="10-10 Pictures" sheetId="4" r:id="rId10"/>
    <sheet name="10-10 Pictures Accuracy" sheetId="14" r:id="rId11"/>
    <sheet name="1-12-26 Pictures" sheetId="5" r:id="rId12"/>
    <sheet name="1-12-26 Pictures Accuracy" sheetId="15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I29" i="14" l="1"/>
  <c r="FG30" i="14"/>
  <c r="DD7" i="14"/>
  <c r="DD8" i="14"/>
  <c r="DD9" i="14"/>
  <c r="DD10" i="14"/>
  <c r="DD11" i="14"/>
  <c r="DD12" i="14"/>
  <c r="DD13" i="14"/>
  <c r="DD14" i="14"/>
  <c r="DD15" i="14"/>
  <c r="DD16" i="14"/>
  <c r="DD17" i="14"/>
  <c r="DD18" i="14"/>
  <c r="DD19" i="14"/>
  <c r="DD20" i="14"/>
  <c r="DD21" i="14"/>
  <c r="DD22" i="14"/>
  <c r="DD23" i="14"/>
  <c r="DD24" i="14"/>
  <c r="DD25" i="14"/>
  <c r="DD26" i="14"/>
  <c r="DD6" i="14"/>
  <c r="GF29" i="13"/>
  <c r="FD23" i="13"/>
  <c r="DB24" i="13"/>
  <c r="GF29" i="12"/>
  <c r="FD30" i="12"/>
  <c r="DB25" i="12"/>
  <c r="GE29" i="10"/>
  <c r="JI25" i="15"/>
  <c r="IJ12" i="15"/>
  <c r="IJ13" i="15"/>
  <c r="IJ14" i="15"/>
  <c r="IJ15" i="15"/>
  <c r="IJ16" i="15"/>
  <c r="IJ17" i="15"/>
  <c r="IJ18" i="15"/>
  <c r="IJ19" i="15"/>
  <c r="IJ20" i="15"/>
  <c r="IJ21" i="15"/>
  <c r="IJ22" i="15"/>
  <c r="IJ23" i="15"/>
  <c r="IJ24" i="15"/>
  <c r="IJ25" i="15"/>
  <c r="IJ26" i="15"/>
  <c r="DB22" i="15"/>
  <c r="DF14" i="15"/>
  <c r="DF15" i="15"/>
  <c r="DF16" i="15"/>
  <c r="DF17" i="15"/>
  <c r="DF18" i="15"/>
  <c r="DF19" i="15"/>
  <c r="DF20" i="15"/>
  <c r="DF21" i="15"/>
  <c r="DF22" i="15"/>
  <c r="DF23" i="15"/>
  <c r="DF24" i="15"/>
  <c r="DF25" i="15"/>
  <c r="CH7" i="15"/>
  <c r="CH8" i="15"/>
  <c r="CH9" i="15"/>
  <c r="CH10" i="15"/>
  <c r="CH11" i="15"/>
  <c r="CH12" i="15"/>
  <c r="CH13" i="15"/>
  <c r="CH14" i="15"/>
  <c r="CH15" i="15"/>
  <c r="CH16" i="15"/>
  <c r="CH17" i="15"/>
  <c r="CH18" i="15"/>
  <c r="CH19" i="15"/>
  <c r="CH20" i="15"/>
  <c r="CH21" i="15"/>
  <c r="CH22" i="15"/>
  <c r="CH23" i="15"/>
  <c r="CH24" i="15"/>
  <c r="CH25" i="15"/>
  <c r="CH26" i="15"/>
  <c r="CH27" i="15"/>
  <c r="BG12" i="15"/>
  <c r="BG13" i="15"/>
  <c r="BG14" i="15"/>
  <c r="BG15" i="15"/>
  <c r="BG16" i="15"/>
  <c r="BG17" i="15"/>
  <c r="BG18" i="15"/>
  <c r="BG19" i="15"/>
  <c r="BG20" i="15"/>
  <c r="BG21" i="15"/>
  <c r="BG22" i="15"/>
  <c r="BG23" i="15"/>
  <c r="BG11" i="15"/>
  <c r="AK19" i="15"/>
  <c r="AK20" i="15"/>
  <c r="AK21" i="15"/>
  <c r="II26" i="14"/>
  <c r="II7" i="14"/>
  <c r="II8" i="14"/>
  <c r="II9" i="14"/>
  <c r="II10" i="14"/>
  <c r="II11" i="14"/>
  <c r="II12" i="14"/>
  <c r="II13" i="14"/>
  <c r="II14" i="14"/>
  <c r="II15" i="14"/>
  <c r="II16" i="14"/>
  <c r="II17" i="14"/>
  <c r="II18" i="14"/>
  <c r="II19" i="14"/>
  <c r="II20" i="14"/>
  <c r="II21" i="14"/>
  <c r="II22" i="14"/>
  <c r="II23" i="14"/>
  <c r="II24" i="14"/>
  <c r="II25" i="14"/>
  <c r="II6" i="14"/>
  <c r="ED25" i="14"/>
  <c r="ED6" i="14"/>
  <c r="BE7" i="14"/>
  <c r="BE8" i="14"/>
  <c r="BE9" i="14"/>
  <c r="BE10" i="14"/>
  <c r="BE11" i="14"/>
  <c r="BE12" i="14"/>
  <c r="BE13" i="14"/>
  <c r="BE14" i="14"/>
  <c r="BE15" i="14"/>
  <c r="BE16" i="14"/>
  <c r="BE17" i="14"/>
  <c r="BE18" i="14"/>
  <c r="BE19" i="14"/>
  <c r="BE20" i="14"/>
  <c r="BE21" i="14"/>
  <c r="BE22" i="14"/>
  <c r="BE6" i="14"/>
  <c r="JD7" i="13"/>
  <c r="JD8" i="13"/>
  <c r="JD9" i="13"/>
  <c r="JD10" i="13"/>
  <c r="JD11" i="13"/>
  <c r="JD12" i="13"/>
  <c r="JD13" i="13"/>
  <c r="JD14" i="13"/>
  <c r="JD15" i="13"/>
  <c r="JD16" i="13"/>
  <c r="JD17" i="13"/>
  <c r="JD18" i="13"/>
  <c r="JD19" i="13"/>
  <c r="JD20" i="13"/>
  <c r="JD21" i="13"/>
  <c r="JD22" i="13"/>
  <c r="JD23" i="13"/>
  <c r="JD24" i="13"/>
  <c r="JD25" i="13"/>
  <c r="JD26" i="13"/>
  <c r="JD6" i="13"/>
  <c r="DZ17" i="13"/>
  <c r="EA17" i="13"/>
  <c r="DB7" i="13"/>
  <c r="DB8" i="13"/>
  <c r="DB9" i="13"/>
  <c r="DB10" i="13"/>
  <c r="DB11" i="13"/>
  <c r="DB12" i="13"/>
  <c r="DB13" i="13"/>
  <c r="DB14" i="13"/>
  <c r="DB15" i="13"/>
  <c r="DB16" i="13"/>
  <c r="DB17" i="13"/>
  <c r="DB18" i="13"/>
  <c r="DB19" i="13"/>
  <c r="DB20" i="13"/>
  <c r="DB21" i="13"/>
  <c r="DB22" i="13"/>
  <c r="DB23" i="13"/>
  <c r="DB6" i="13"/>
  <c r="JC7" i="12"/>
  <c r="JC8" i="12"/>
  <c r="JC9" i="12"/>
  <c r="JC10" i="12"/>
  <c r="JC11" i="12"/>
  <c r="JC12" i="12"/>
  <c r="JC13" i="12"/>
  <c r="JC14" i="12"/>
  <c r="JC15" i="12"/>
  <c r="JC16" i="12"/>
  <c r="JC17" i="12"/>
  <c r="JC18" i="12"/>
  <c r="JC19" i="12"/>
  <c r="JC20" i="12"/>
  <c r="JC21" i="12"/>
  <c r="JC22" i="12"/>
  <c r="JC23" i="12"/>
  <c r="JC24" i="12"/>
  <c r="JC25" i="12"/>
  <c r="JC6" i="12"/>
  <c r="FH29" i="15"/>
  <c r="HK28" i="15"/>
  <c r="GJ28" i="15"/>
  <c r="FH28" i="15"/>
  <c r="HK27" i="15"/>
  <c r="GJ27" i="15"/>
  <c r="FH27" i="15"/>
  <c r="HK26" i="15"/>
  <c r="GJ26" i="15"/>
  <c r="FH26" i="15"/>
  <c r="HK25" i="15"/>
  <c r="GJ25" i="15"/>
  <c r="FH25" i="15"/>
  <c r="JI24" i="15"/>
  <c r="HK24" i="15"/>
  <c r="GJ24" i="15"/>
  <c r="FH24" i="15"/>
  <c r="EE24" i="15"/>
  <c r="JI23" i="15"/>
  <c r="HK23" i="15"/>
  <c r="GJ23" i="15"/>
  <c r="FH23" i="15"/>
  <c r="EE23" i="15"/>
  <c r="JI22" i="15"/>
  <c r="HK22" i="15"/>
  <c r="GJ22" i="15"/>
  <c r="FH22" i="15"/>
  <c r="EE22" i="15"/>
  <c r="JI21" i="15"/>
  <c r="HK21" i="15"/>
  <c r="GJ21" i="15"/>
  <c r="FH21" i="15"/>
  <c r="EE21" i="15"/>
  <c r="JI20" i="15"/>
  <c r="HK20" i="15"/>
  <c r="GJ20" i="15"/>
  <c r="FH20" i="15"/>
  <c r="EE20" i="15"/>
  <c r="JI19" i="15"/>
  <c r="HK19" i="15"/>
  <c r="GJ19" i="15"/>
  <c r="FH19" i="15"/>
  <c r="EE19" i="15"/>
  <c r="Q19" i="15"/>
  <c r="JI18" i="15"/>
  <c r="HK18" i="15"/>
  <c r="GJ18" i="15"/>
  <c r="FH18" i="15"/>
  <c r="EE18" i="15"/>
  <c r="AK18" i="15"/>
  <c r="Q18" i="15"/>
  <c r="JI17" i="15"/>
  <c r="HK17" i="15"/>
  <c r="GJ17" i="15"/>
  <c r="FH17" i="15"/>
  <c r="EE17" i="15"/>
  <c r="AK17" i="15"/>
  <c r="Q17" i="15"/>
  <c r="JI16" i="15"/>
  <c r="HK16" i="15"/>
  <c r="GJ16" i="15"/>
  <c r="FH16" i="15"/>
  <c r="EE16" i="15"/>
  <c r="AK16" i="15"/>
  <c r="Q16" i="15"/>
  <c r="JI15" i="15"/>
  <c r="HK15" i="15"/>
  <c r="GJ15" i="15"/>
  <c r="FH15" i="15"/>
  <c r="EE15" i="15"/>
  <c r="AK15" i="15"/>
  <c r="Q15" i="15"/>
  <c r="JI14" i="15"/>
  <c r="HK14" i="15"/>
  <c r="GJ14" i="15"/>
  <c r="FH14" i="15"/>
  <c r="EE14" i="15"/>
  <c r="AK14" i="15"/>
  <c r="Q14" i="15"/>
  <c r="JI13" i="15"/>
  <c r="HK13" i="15"/>
  <c r="GJ13" i="15"/>
  <c r="FH13" i="15"/>
  <c r="EE13" i="15"/>
  <c r="DF13" i="15"/>
  <c r="AK13" i="15"/>
  <c r="Q13" i="15"/>
  <c r="JI12" i="15"/>
  <c r="HK12" i="15"/>
  <c r="GJ12" i="15"/>
  <c r="FH12" i="15"/>
  <c r="EE12" i="15"/>
  <c r="DF12" i="15"/>
  <c r="AK12" i="15"/>
  <c r="Q12" i="15"/>
  <c r="JI11" i="15"/>
  <c r="IJ11" i="15"/>
  <c r="HK11" i="15"/>
  <c r="GJ11" i="15"/>
  <c r="FH11" i="15"/>
  <c r="EE11" i="15"/>
  <c r="DF11" i="15"/>
  <c r="AK11" i="15"/>
  <c r="Q11" i="15"/>
  <c r="JI10" i="15"/>
  <c r="IJ10" i="15"/>
  <c r="HK10" i="15"/>
  <c r="GJ10" i="15"/>
  <c r="FH10" i="15"/>
  <c r="EE10" i="15"/>
  <c r="DF10" i="15"/>
  <c r="BG10" i="15"/>
  <c r="AK10" i="15"/>
  <c r="Q10" i="15"/>
  <c r="JI9" i="15"/>
  <c r="IJ9" i="15"/>
  <c r="HK9" i="15"/>
  <c r="GJ9" i="15"/>
  <c r="FH9" i="15"/>
  <c r="EE9" i="15"/>
  <c r="DF9" i="15"/>
  <c r="BG9" i="15"/>
  <c r="AK9" i="15"/>
  <c r="Q9" i="15"/>
  <c r="JI8" i="15"/>
  <c r="IJ8" i="15"/>
  <c r="HK8" i="15"/>
  <c r="GJ8" i="15"/>
  <c r="FH8" i="15"/>
  <c r="EE8" i="15"/>
  <c r="DF8" i="15"/>
  <c r="BG8" i="15"/>
  <c r="AK8" i="15"/>
  <c r="Q8" i="15"/>
  <c r="JI7" i="15"/>
  <c r="IJ7" i="15"/>
  <c r="HK7" i="15"/>
  <c r="GJ7" i="15"/>
  <c r="FH7" i="15"/>
  <c r="EE7" i="15"/>
  <c r="DF7" i="15"/>
  <c r="BG7" i="15"/>
  <c r="AK7" i="15"/>
  <c r="Q7" i="15"/>
  <c r="JI6" i="15"/>
  <c r="IJ6" i="15"/>
  <c r="HK6" i="15"/>
  <c r="GJ6" i="15"/>
  <c r="FH6" i="15"/>
  <c r="EE6" i="15"/>
  <c r="DF6" i="15"/>
  <c r="CH6" i="15"/>
  <c r="BG6" i="15"/>
  <c r="AK6" i="15"/>
  <c r="Q6" i="15"/>
  <c r="FG29" i="14"/>
  <c r="HJ28" i="14"/>
  <c r="GI28" i="14"/>
  <c r="FG28" i="14"/>
  <c r="HJ27" i="14"/>
  <c r="GI27" i="14"/>
  <c r="FG27" i="14"/>
  <c r="HJ26" i="14"/>
  <c r="GI26" i="14"/>
  <c r="FG26" i="14"/>
  <c r="CE26" i="14"/>
  <c r="HJ25" i="14"/>
  <c r="GI25" i="14"/>
  <c r="FG25" i="14"/>
  <c r="CE25" i="14"/>
  <c r="JF24" i="14"/>
  <c r="HJ24" i="14"/>
  <c r="GI24" i="14"/>
  <c r="FG24" i="14"/>
  <c r="ED24" i="14"/>
  <c r="CE24" i="14"/>
  <c r="JF23" i="14"/>
  <c r="HJ23" i="14"/>
  <c r="GI23" i="14"/>
  <c r="FG23" i="14"/>
  <c r="ED23" i="14"/>
  <c r="CE23" i="14"/>
  <c r="JF22" i="14"/>
  <c r="HJ22" i="14"/>
  <c r="GI22" i="14"/>
  <c r="FG22" i="14"/>
  <c r="ED22" i="14"/>
  <c r="CE22" i="14"/>
  <c r="JF21" i="14"/>
  <c r="HJ21" i="14"/>
  <c r="GI21" i="14"/>
  <c r="FG21" i="14"/>
  <c r="ED21" i="14"/>
  <c r="CE21" i="14"/>
  <c r="JF20" i="14"/>
  <c r="HJ20" i="14"/>
  <c r="GI20" i="14"/>
  <c r="FG20" i="14"/>
  <c r="ED20" i="14"/>
  <c r="CE20" i="14"/>
  <c r="AJ20" i="14"/>
  <c r="JF19" i="14"/>
  <c r="HJ19" i="14"/>
  <c r="GI19" i="14"/>
  <c r="FG19" i="14"/>
  <c r="ED19" i="14"/>
  <c r="CE19" i="14"/>
  <c r="AJ19" i="14"/>
  <c r="Q19" i="14"/>
  <c r="JF18" i="14"/>
  <c r="HJ18" i="14"/>
  <c r="GI18" i="14"/>
  <c r="FG18" i="14"/>
  <c r="ED18" i="14"/>
  <c r="CE18" i="14"/>
  <c r="AJ18" i="14"/>
  <c r="Q18" i="14"/>
  <c r="JF17" i="14"/>
  <c r="HJ17" i="14"/>
  <c r="GI17" i="14"/>
  <c r="FG17" i="14"/>
  <c r="ED17" i="14"/>
  <c r="CE17" i="14"/>
  <c r="AJ17" i="14"/>
  <c r="Q17" i="14"/>
  <c r="JF16" i="14"/>
  <c r="HJ16" i="14"/>
  <c r="GI16" i="14"/>
  <c r="FG16" i="14"/>
  <c r="ED16" i="14"/>
  <c r="CE16" i="14"/>
  <c r="AJ16" i="14"/>
  <c r="Q16" i="14"/>
  <c r="JF15" i="14"/>
  <c r="HJ15" i="14"/>
  <c r="GI15" i="14"/>
  <c r="FG15" i="14"/>
  <c r="ED15" i="14"/>
  <c r="CE15" i="14"/>
  <c r="AJ15" i="14"/>
  <c r="Q15" i="14"/>
  <c r="JF14" i="14"/>
  <c r="HJ14" i="14"/>
  <c r="GI14" i="14"/>
  <c r="FG14" i="14"/>
  <c r="ED14" i="14"/>
  <c r="CE14" i="14"/>
  <c r="AJ14" i="14"/>
  <c r="Q14" i="14"/>
  <c r="JF13" i="14"/>
  <c r="HJ13" i="14"/>
  <c r="GI13" i="14"/>
  <c r="FG13" i="14"/>
  <c r="ED13" i="14"/>
  <c r="CE13" i="14"/>
  <c r="AJ13" i="14"/>
  <c r="Q13" i="14"/>
  <c r="JF12" i="14"/>
  <c r="HJ12" i="14"/>
  <c r="GI12" i="14"/>
  <c r="FG12" i="14"/>
  <c r="ED12" i="14"/>
  <c r="CE12" i="14"/>
  <c r="AJ12" i="14"/>
  <c r="Q12" i="14"/>
  <c r="JF11" i="14"/>
  <c r="HJ11" i="14"/>
  <c r="GI11" i="14"/>
  <c r="FG11" i="14"/>
  <c r="ED11" i="14"/>
  <c r="CE11" i="14"/>
  <c r="AJ11" i="14"/>
  <c r="Q11" i="14"/>
  <c r="JF10" i="14"/>
  <c r="HJ10" i="14"/>
  <c r="GI10" i="14"/>
  <c r="FG10" i="14"/>
  <c r="ED10" i="14"/>
  <c r="CE10" i="14"/>
  <c r="AJ10" i="14"/>
  <c r="Q10" i="14"/>
  <c r="JF9" i="14"/>
  <c r="HJ9" i="14"/>
  <c r="GI9" i="14"/>
  <c r="FG9" i="14"/>
  <c r="ED9" i="14"/>
  <c r="CE9" i="14"/>
  <c r="AJ9" i="14"/>
  <c r="Q9" i="14"/>
  <c r="JF8" i="14"/>
  <c r="HJ8" i="14"/>
  <c r="GI8" i="14"/>
  <c r="FG8" i="14"/>
  <c r="ED8" i="14"/>
  <c r="CE8" i="14"/>
  <c r="AJ8" i="14"/>
  <c r="Q8" i="14"/>
  <c r="JF7" i="14"/>
  <c r="HJ7" i="14"/>
  <c r="GI7" i="14"/>
  <c r="FG7" i="14"/>
  <c r="ED7" i="14"/>
  <c r="CE7" i="14"/>
  <c r="AJ7" i="14"/>
  <c r="Q7" i="14"/>
  <c r="JF6" i="14"/>
  <c r="HJ6" i="14"/>
  <c r="GI6" i="14"/>
  <c r="FG6" i="14"/>
  <c r="CE6" i="14"/>
  <c r="AJ6" i="14"/>
  <c r="Q6" i="14"/>
  <c r="FD29" i="13"/>
  <c r="HG28" i="13"/>
  <c r="GF28" i="13"/>
  <c r="FD28" i="13"/>
  <c r="HG27" i="13"/>
  <c r="GF27" i="13"/>
  <c r="FD27" i="13"/>
  <c r="HG26" i="13"/>
  <c r="GF26" i="13"/>
  <c r="FD26" i="13"/>
  <c r="CD26" i="13"/>
  <c r="IE25" i="13"/>
  <c r="HG25" i="13"/>
  <c r="GF25" i="13"/>
  <c r="FD25" i="13"/>
  <c r="CD25" i="13"/>
  <c r="IE24" i="13"/>
  <c r="HG24" i="13"/>
  <c r="GF24" i="13"/>
  <c r="FD24" i="13"/>
  <c r="EA24" i="13"/>
  <c r="CD24" i="13"/>
  <c r="IE23" i="13"/>
  <c r="HG23" i="13"/>
  <c r="GF23" i="13"/>
  <c r="EA23" i="13"/>
  <c r="CD23" i="13"/>
  <c r="IE22" i="13"/>
  <c r="HG22" i="13"/>
  <c r="GF22" i="13"/>
  <c r="FD22" i="13"/>
  <c r="EA22" i="13"/>
  <c r="CD22" i="13"/>
  <c r="IE21" i="13"/>
  <c r="HG21" i="13"/>
  <c r="GF21" i="13"/>
  <c r="FD21" i="13"/>
  <c r="EA21" i="13"/>
  <c r="CD21" i="13"/>
  <c r="BD21" i="13"/>
  <c r="IE20" i="13"/>
  <c r="HG20" i="13"/>
  <c r="GF20" i="13"/>
  <c r="FD20" i="13"/>
  <c r="EA20" i="13"/>
  <c r="CD20" i="13"/>
  <c r="BD20" i="13"/>
  <c r="AJ20" i="13"/>
  <c r="IE19" i="13"/>
  <c r="HG19" i="13"/>
  <c r="GF19" i="13"/>
  <c r="FD19" i="13"/>
  <c r="EA19" i="13"/>
  <c r="CD19" i="13"/>
  <c r="BD19" i="13"/>
  <c r="AJ19" i="13"/>
  <c r="Q19" i="13"/>
  <c r="IE18" i="13"/>
  <c r="HG18" i="13"/>
  <c r="GF18" i="13"/>
  <c r="FD18" i="13"/>
  <c r="EA18" i="13"/>
  <c r="CD18" i="13"/>
  <c r="BD18" i="13"/>
  <c r="AJ18" i="13"/>
  <c r="Q18" i="13"/>
  <c r="IE17" i="13"/>
  <c r="HG17" i="13"/>
  <c r="GF17" i="13"/>
  <c r="FD17" i="13"/>
  <c r="CD17" i="13"/>
  <c r="BD17" i="13"/>
  <c r="AJ17" i="13"/>
  <c r="Q17" i="13"/>
  <c r="IE16" i="13"/>
  <c r="HG16" i="13"/>
  <c r="GF16" i="13"/>
  <c r="FD16" i="13"/>
  <c r="EA16" i="13"/>
  <c r="CD16" i="13"/>
  <c r="BD16" i="13"/>
  <c r="AJ16" i="13"/>
  <c r="Q16" i="13"/>
  <c r="IE15" i="13"/>
  <c r="HG15" i="13"/>
  <c r="GF15" i="13"/>
  <c r="FD15" i="13"/>
  <c r="EA15" i="13"/>
  <c r="CD15" i="13"/>
  <c r="BD15" i="13"/>
  <c r="AJ15" i="13"/>
  <c r="Q15" i="13"/>
  <c r="IE14" i="13"/>
  <c r="HG14" i="13"/>
  <c r="GF14" i="13"/>
  <c r="FD14" i="13"/>
  <c r="EA14" i="13"/>
  <c r="CD14" i="13"/>
  <c r="BD14" i="13"/>
  <c r="AJ14" i="13"/>
  <c r="Q14" i="13"/>
  <c r="IE13" i="13"/>
  <c r="HG13" i="13"/>
  <c r="GF13" i="13"/>
  <c r="FD13" i="13"/>
  <c r="EA13" i="13"/>
  <c r="CD13" i="13"/>
  <c r="BD13" i="13"/>
  <c r="AJ13" i="13"/>
  <c r="Q13" i="13"/>
  <c r="IE12" i="13"/>
  <c r="HG12" i="13"/>
  <c r="GF12" i="13"/>
  <c r="FD12" i="13"/>
  <c r="EA12" i="13"/>
  <c r="CD12" i="13"/>
  <c r="BD12" i="13"/>
  <c r="AJ12" i="13"/>
  <c r="Q12" i="13"/>
  <c r="IE11" i="13"/>
  <c r="HG11" i="13"/>
  <c r="GF11" i="13"/>
  <c r="FD11" i="13"/>
  <c r="EA11" i="13"/>
  <c r="CD11" i="13"/>
  <c r="BD11" i="13"/>
  <c r="AJ11" i="13"/>
  <c r="Q11" i="13"/>
  <c r="IE10" i="13"/>
  <c r="HG10" i="13"/>
  <c r="GF10" i="13"/>
  <c r="FD10" i="13"/>
  <c r="EA10" i="13"/>
  <c r="CD10" i="13"/>
  <c r="BD10" i="13"/>
  <c r="AJ10" i="13"/>
  <c r="Q10" i="13"/>
  <c r="IE9" i="13"/>
  <c r="HG9" i="13"/>
  <c r="GF9" i="13"/>
  <c r="FD9" i="13"/>
  <c r="EA9" i="13"/>
  <c r="CD9" i="13"/>
  <c r="BD9" i="13"/>
  <c r="AJ9" i="13"/>
  <c r="Q9" i="13"/>
  <c r="IE8" i="13"/>
  <c r="HG8" i="13"/>
  <c r="GF8" i="13"/>
  <c r="FD8" i="13"/>
  <c r="EA8" i="13"/>
  <c r="CD8" i="13"/>
  <c r="BD8" i="13"/>
  <c r="AJ8" i="13"/>
  <c r="Q8" i="13"/>
  <c r="IE7" i="13"/>
  <c r="HG7" i="13"/>
  <c r="GF7" i="13"/>
  <c r="FD7" i="13"/>
  <c r="EA7" i="13"/>
  <c r="CD7" i="13"/>
  <c r="BD7" i="13"/>
  <c r="AJ7" i="13"/>
  <c r="Q7" i="13"/>
  <c r="IE6" i="13"/>
  <c r="HG6" i="13"/>
  <c r="GF6" i="13"/>
  <c r="FD6" i="13"/>
  <c r="EA6" i="13"/>
  <c r="CD6" i="13"/>
  <c r="BD6" i="13"/>
  <c r="AJ6" i="13"/>
  <c r="Q6" i="13"/>
  <c r="FD29" i="12"/>
  <c r="HG28" i="12"/>
  <c r="GF28" i="12"/>
  <c r="FD28" i="12"/>
  <c r="HG27" i="12"/>
  <c r="GF27" i="12"/>
  <c r="FD27" i="12"/>
  <c r="HG26" i="12"/>
  <c r="GF26" i="12"/>
  <c r="FD26" i="12"/>
  <c r="CD26" i="12"/>
  <c r="IE25" i="12"/>
  <c r="HG25" i="12"/>
  <c r="GF25" i="12"/>
  <c r="FD25" i="12"/>
  <c r="CD25" i="12"/>
  <c r="IE24" i="12"/>
  <c r="HG24" i="12"/>
  <c r="GF24" i="12"/>
  <c r="FD24" i="12"/>
  <c r="EA24" i="12"/>
  <c r="DB24" i="12"/>
  <c r="CD24" i="12"/>
  <c r="IE23" i="12"/>
  <c r="HG23" i="12"/>
  <c r="GF23" i="12"/>
  <c r="FD23" i="12"/>
  <c r="EA23" i="12"/>
  <c r="DB23" i="12"/>
  <c r="CD23" i="12"/>
  <c r="IE22" i="12"/>
  <c r="HG22" i="12"/>
  <c r="GF22" i="12"/>
  <c r="FD22" i="12"/>
  <c r="EA22" i="12"/>
  <c r="DB22" i="12"/>
  <c r="CD22" i="12"/>
  <c r="IE21" i="12"/>
  <c r="HG21" i="12"/>
  <c r="GF21" i="12"/>
  <c r="FD21" i="12"/>
  <c r="EA21" i="12"/>
  <c r="DB21" i="12"/>
  <c r="CD21" i="12"/>
  <c r="BD21" i="12"/>
  <c r="IE20" i="12"/>
  <c r="HG20" i="12"/>
  <c r="GF20" i="12"/>
  <c r="FD20" i="12"/>
  <c r="EA20" i="12"/>
  <c r="DB20" i="12"/>
  <c r="CD20" i="12"/>
  <c r="BD20" i="12"/>
  <c r="AJ20" i="12"/>
  <c r="IE19" i="12"/>
  <c r="HG19" i="12"/>
  <c r="GF19" i="12"/>
  <c r="FD19" i="12"/>
  <c r="EA19" i="12"/>
  <c r="DB19" i="12"/>
  <c r="CD19" i="12"/>
  <c r="BD19" i="12"/>
  <c r="AJ19" i="12"/>
  <c r="Q19" i="12"/>
  <c r="IE18" i="12"/>
  <c r="HG18" i="12"/>
  <c r="GF18" i="12"/>
  <c r="FD18" i="12"/>
  <c r="EA18" i="12"/>
  <c r="DB18" i="12"/>
  <c r="CD18" i="12"/>
  <c r="BD18" i="12"/>
  <c r="AJ18" i="12"/>
  <c r="Q18" i="12"/>
  <c r="IE17" i="12"/>
  <c r="HG17" i="12"/>
  <c r="GF17" i="12"/>
  <c r="FD17" i="12"/>
  <c r="EA17" i="12"/>
  <c r="DB17" i="12"/>
  <c r="CD17" i="12"/>
  <c r="BD17" i="12"/>
  <c r="AJ17" i="12"/>
  <c r="Q17" i="12"/>
  <c r="IE16" i="12"/>
  <c r="HG16" i="12"/>
  <c r="GF16" i="12"/>
  <c r="FD16" i="12"/>
  <c r="EA16" i="12"/>
  <c r="DB16" i="12"/>
  <c r="CD16" i="12"/>
  <c r="BD16" i="12"/>
  <c r="AJ16" i="12"/>
  <c r="Q16" i="12"/>
  <c r="IE15" i="12"/>
  <c r="HG15" i="12"/>
  <c r="GF15" i="12"/>
  <c r="FD15" i="12"/>
  <c r="EA15" i="12"/>
  <c r="DB15" i="12"/>
  <c r="CD15" i="12"/>
  <c r="BD15" i="12"/>
  <c r="AJ15" i="12"/>
  <c r="Q15" i="12"/>
  <c r="IE14" i="12"/>
  <c r="HG14" i="12"/>
  <c r="GF14" i="12"/>
  <c r="FD14" i="12"/>
  <c r="EA14" i="12"/>
  <c r="DB14" i="12"/>
  <c r="CD14" i="12"/>
  <c r="BD14" i="12"/>
  <c r="AJ14" i="12"/>
  <c r="Q14" i="12"/>
  <c r="IE13" i="12"/>
  <c r="HG13" i="12"/>
  <c r="GF13" i="12"/>
  <c r="FD13" i="12"/>
  <c r="EA13" i="12"/>
  <c r="DB13" i="12"/>
  <c r="CD13" i="12"/>
  <c r="BD13" i="12"/>
  <c r="AJ13" i="12"/>
  <c r="Q13" i="12"/>
  <c r="IE12" i="12"/>
  <c r="HG12" i="12"/>
  <c r="GF12" i="12"/>
  <c r="FD12" i="12"/>
  <c r="EA12" i="12"/>
  <c r="DB12" i="12"/>
  <c r="CD12" i="12"/>
  <c r="BD12" i="12"/>
  <c r="AJ12" i="12"/>
  <c r="Q12" i="12"/>
  <c r="IE11" i="12"/>
  <c r="HG11" i="12"/>
  <c r="GF11" i="12"/>
  <c r="FD11" i="12"/>
  <c r="EA11" i="12"/>
  <c r="DB11" i="12"/>
  <c r="CD11" i="12"/>
  <c r="BD11" i="12"/>
  <c r="AJ11" i="12"/>
  <c r="Q11" i="12"/>
  <c r="IE10" i="12"/>
  <c r="HG10" i="12"/>
  <c r="GF10" i="12"/>
  <c r="FD10" i="12"/>
  <c r="EA10" i="12"/>
  <c r="DB10" i="12"/>
  <c r="CD10" i="12"/>
  <c r="BD10" i="12"/>
  <c r="AJ10" i="12"/>
  <c r="Q10" i="12"/>
  <c r="IE9" i="12"/>
  <c r="HG9" i="12"/>
  <c r="GF9" i="12"/>
  <c r="FD9" i="12"/>
  <c r="EA9" i="12"/>
  <c r="DB9" i="12"/>
  <c r="CD9" i="12"/>
  <c r="BD9" i="12"/>
  <c r="AJ9" i="12"/>
  <c r="Q9" i="12"/>
  <c r="IE8" i="12"/>
  <c r="HG8" i="12"/>
  <c r="GF8" i="12"/>
  <c r="FD8" i="12"/>
  <c r="EA8" i="12"/>
  <c r="DB8" i="12"/>
  <c r="CD8" i="12"/>
  <c r="BD8" i="12"/>
  <c r="AJ8" i="12"/>
  <c r="Q8" i="12"/>
  <c r="IE7" i="12"/>
  <c r="HG7" i="12"/>
  <c r="GF7" i="12"/>
  <c r="FD7" i="12"/>
  <c r="EA7" i="12"/>
  <c r="DB7" i="12"/>
  <c r="CD7" i="12"/>
  <c r="BD7" i="12"/>
  <c r="AJ7" i="12"/>
  <c r="Q7" i="12"/>
  <c r="IE6" i="12"/>
  <c r="HG6" i="12"/>
  <c r="GF6" i="12"/>
  <c r="FD6" i="12"/>
  <c r="EA6" i="12"/>
  <c r="DB6" i="12"/>
  <c r="CD6" i="12"/>
  <c r="BD6" i="12"/>
  <c r="AJ6" i="12"/>
  <c r="Q6" i="12"/>
  <c r="JA6" i="10"/>
  <c r="JA7" i="10"/>
  <c r="JA8" i="10"/>
  <c r="JA9" i="10"/>
  <c r="JA10" i="10"/>
  <c r="JA11" i="10"/>
  <c r="JA12" i="10"/>
  <c r="JA13" i="10"/>
  <c r="JA14" i="10"/>
  <c r="JA15" i="10"/>
  <c r="JA16" i="10"/>
  <c r="JA17" i="10"/>
  <c r="JA18" i="10"/>
  <c r="JA19" i="10"/>
  <c r="JA20" i="10"/>
  <c r="JA21" i="10"/>
  <c r="JA22" i="10"/>
  <c r="JA23" i="10"/>
  <c r="JA24" i="10"/>
  <c r="ID25" i="10"/>
  <c r="ID6" i="10"/>
  <c r="FC7" i="10"/>
  <c r="FC8" i="10"/>
  <c r="FC9" i="10"/>
  <c r="FC10" i="10"/>
  <c r="FC11" i="10"/>
  <c r="FC12" i="10"/>
  <c r="FC13" i="10"/>
  <c r="FC14" i="10"/>
  <c r="FC15" i="10"/>
  <c r="FC16" i="10"/>
  <c r="FC17" i="10"/>
  <c r="FC18" i="10"/>
  <c r="FC19" i="10"/>
  <c r="FC20" i="10"/>
  <c r="FC21" i="10"/>
  <c r="FC22" i="10"/>
  <c r="FC23" i="10"/>
  <c r="FC24" i="10"/>
  <c r="FC25" i="10"/>
  <c r="FC26" i="10"/>
  <c r="FC27" i="10"/>
  <c r="FC28" i="10"/>
  <c r="FC29" i="10"/>
  <c r="FC6" i="10"/>
  <c r="DZ6" i="10"/>
  <c r="DA24" i="10"/>
  <c r="DA23" i="10"/>
  <c r="DA22" i="10"/>
  <c r="DA6" i="10"/>
  <c r="CD7" i="10"/>
  <c r="CD8" i="10"/>
  <c r="CD9" i="10"/>
  <c r="CD10" i="10"/>
  <c r="CD11" i="10"/>
  <c r="CD12" i="10"/>
  <c r="CD13" i="10"/>
  <c r="CD14" i="10"/>
  <c r="CD15" i="10"/>
  <c r="CD16" i="10"/>
  <c r="CD17" i="10"/>
  <c r="CD18" i="10"/>
  <c r="CD19" i="10"/>
  <c r="CD20" i="10"/>
  <c r="CD21" i="10"/>
  <c r="CD22" i="10"/>
  <c r="CD23" i="10"/>
  <c r="CD24" i="10"/>
  <c r="CD25" i="10"/>
  <c r="CD26" i="10"/>
  <c r="CD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6" i="10"/>
  <c r="Q19" i="11"/>
  <c r="Q18" i="11"/>
  <c r="Q17" i="11"/>
  <c r="Q16" i="11"/>
  <c r="Q15" i="11"/>
  <c r="Q14" i="11"/>
  <c r="Q13" i="11"/>
  <c r="Q12" i="11"/>
  <c r="Q11" i="11"/>
  <c r="Q10" i="11"/>
  <c r="Q9" i="11"/>
  <c r="Q8" i="11"/>
  <c r="Q7" i="11"/>
  <c r="Q6" i="11"/>
  <c r="Q19" i="10"/>
  <c r="GP28" i="11"/>
  <c r="FO28" i="11"/>
  <c r="GP27" i="11"/>
  <c r="FO27" i="11"/>
  <c r="EN27" i="11"/>
  <c r="GP26" i="11"/>
  <c r="FO26" i="11"/>
  <c r="EN26" i="11"/>
  <c r="GP25" i="11"/>
  <c r="FO25" i="11"/>
  <c r="EN25" i="11"/>
  <c r="IJ24" i="11"/>
  <c r="HM24" i="11"/>
  <c r="GP24" i="11"/>
  <c r="FO24" i="11"/>
  <c r="EN24" i="11"/>
  <c r="DN24" i="11"/>
  <c r="IJ23" i="11"/>
  <c r="HM23" i="11"/>
  <c r="GP23" i="11"/>
  <c r="FO23" i="11"/>
  <c r="EN23" i="11"/>
  <c r="DN23" i="11"/>
  <c r="IJ22" i="11"/>
  <c r="HM22" i="11"/>
  <c r="GP22" i="11"/>
  <c r="FO22" i="11"/>
  <c r="EN22" i="11"/>
  <c r="DN22" i="11"/>
  <c r="IJ21" i="11"/>
  <c r="HM21" i="11"/>
  <c r="GP21" i="11"/>
  <c r="FO21" i="11"/>
  <c r="EN21" i="11"/>
  <c r="DN21" i="11"/>
  <c r="CQ21" i="11"/>
  <c r="BC21" i="11"/>
  <c r="IJ20" i="11"/>
  <c r="HM20" i="11"/>
  <c r="GP20" i="11"/>
  <c r="FO20" i="11"/>
  <c r="EN20" i="11"/>
  <c r="DN20" i="11"/>
  <c r="CQ20" i="11"/>
  <c r="BW20" i="11"/>
  <c r="BC20" i="11"/>
  <c r="IJ19" i="11"/>
  <c r="HM19" i="11"/>
  <c r="GP19" i="11"/>
  <c r="FO19" i="11"/>
  <c r="EN19" i="11"/>
  <c r="DN19" i="11"/>
  <c r="CQ19" i="11"/>
  <c r="BW19" i="11"/>
  <c r="BC19" i="11"/>
  <c r="AI19" i="11"/>
  <c r="IJ18" i="11"/>
  <c r="HM18" i="11"/>
  <c r="GP18" i="11"/>
  <c r="FO18" i="11"/>
  <c r="EN18" i="11"/>
  <c r="DN18" i="11"/>
  <c r="CQ18" i="11"/>
  <c r="BW18" i="11"/>
  <c r="BC18" i="11"/>
  <c r="AI18" i="11"/>
  <c r="IJ17" i="11"/>
  <c r="HM17" i="11"/>
  <c r="GP17" i="11"/>
  <c r="FO17" i="11"/>
  <c r="EN17" i="11"/>
  <c r="DN17" i="11"/>
  <c r="CQ17" i="11"/>
  <c r="BW17" i="11"/>
  <c r="BC17" i="11"/>
  <c r="AI17" i="11"/>
  <c r="IJ16" i="11"/>
  <c r="HM16" i="11"/>
  <c r="GP16" i="11"/>
  <c r="FO16" i="11"/>
  <c r="EN16" i="11"/>
  <c r="DN16" i="11"/>
  <c r="CQ16" i="11"/>
  <c r="BW16" i="11"/>
  <c r="BC16" i="11"/>
  <c r="AI16" i="11"/>
  <c r="IJ15" i="11"/>
  <c r="HM15" i="11"/>
  <c r="GP15" i="11"/>
  <c r="FO15" i="11"/>
  <c r="EN15" i="11"/>
  <c r="DN15" i="11"/>
  <c r="CQ15" i="11"/>
  <c r="BW15" i="11"/>
  <c r="BC15" i="11"/>
  <c r="AI15" i="11"/>
  <c r="IJ14" i="11"/>
  <c r="HM14" i="11"/>
  <c r="GP14" i="11"/>
  <c r="FO14" i="11"/>
  <c r="EN14" i="11"/>
  <c r="DN14" i="11"/>
  <c r="CQ14" i="11"/>
  <c r="BW14" i="11"/>
  <c r="BC14" i="11"/>
  <c r="AI14" i="11"/>
  <c r="IJ13" i="11"/>
  <c r="HM13" i="11"/>
  <c r="GP13" i="11"/>
  <c r="FO13" i="11"/>
  <c r="EN13" i="11"/>
  <c r="DN13" i="11"/>
  <c r="CQ13" i="11"/>
  <c r="BW13" i="11"/>
  <c r="BC13" i="11"/>
  <c r="AI13" i="11"/>
  <c r="IJ12" i="11"/>
  <c r="HM12" i="11"/>
  <c r="GP12" i="11"/>
  <c r="FO12" i="11"/>
  <c r="EN12" i="11"/>
  <c r="DN12" i="11"/>
  <c r="CQ12" i="11"/>
  <c r="BW12" i="11"/>
  <c r="BC12" i="11"/>
  <c r="AI12" i="11"/>
  <c r="IJ11" i="11"/>
  <c r="HM11" i="11"/>
  <c r="GP11" i="11"/>
  <c r="FO11" i="11"/>
  <c r="EN11" i="11"/>
  <c r="DN11" i="11"/>
  <c r="CQ11" i="11"/>
  <c r="BW11" i="11"/>
  <c r="BC11" i="11"/>
  <c r="AI11" i="11"/>
  <c r="IJ10" i="11"/>
  <c r="HM10" i="11"/>
  <c r="GP10" i="11"/>
  <c r="FO10" i="11"/>
  <c r="EN10" i="11"/>
  <c r="DN10" i="11"/>
  <c r="CQ10" i="11"/>
  <c r="BW10" i="11"/>
  <c r="BC10" i="11"/>
  <c r="AI10" i="11"/>
  <c r="IJ9" i="11"/>
  <c r="HM9" i="11"/>
  <c r="GP9" i="11"/>
  <c r="FO9" i="11"/>
  <c r="EN9" i="11"/>
  <c r="DN9" i="11"/>
  <c r="CQ9" i="11"/>
  <c r="BW9" i="11"/>
  <c r="BC9" i="11"/>
  <c r="AI9" i="11"/>
  <c r="IJ8" i="11"/>
  <c r="HM8" i="11"/>
  <c r="GP8" i="11"/>
  <c r="FO8" i="11"/>
  <c r="EN8" i="11"/>
  <c r="DN8" i="11"/>
  <c r="CQ8" i="11"/>
  <c r="BW8" i="11"/>
  <c r="BC8" i="11"/>
  <c r="AI8" i="11"/>
  <c r="IJ7" i="11"/>
  <c r="HM7" i="11"/>
  <c r="GP7" i="11"/>
  <c r="FO7" i="11"/>
  <c r="EN7" i="11"/>
  <c r="DN7" i="11"/>
  <c r="CQ7" i="11"/>
  <c r="BW7" i="11"/>
  <c r="BC7" i="11"/>
  <c r="AI7" i="11"/>
  <c r="IJ6" i="11"/>
  <c r="HM6" i="11"/>
  <c r="GP6" i="11"/>
  <c r="FO6" i="11"/>
  <c r="EN6" i="11"/>
  <c r="CQ6" i="11"/>
  <c r="BW6" i="11"/>
  <c r="BC6" i="11"/>
  <c r="AI6" i="11"/>
  <c r="HF28" i="10"/>
  <c r="GE28" i="10"/>
  <c r="HF27" i="10"/>
  <c r="GE27" i="10"/>
  <c r="HF26" i="10"/>
  <c r="GE26" i="10"/>
  <c r="HF25" i="10"/>
  <c r="GE25" i="10"/>
  <c r="ID24" i="10"/>
  <c r="HF24" i="10"/>
  <c r="GE24" i="10"/>
  <c r="DZ24" i="10"/>
  <c r="ID23" i="10"/>
  <c r="HF23" i="10"/>
  <c r="GE23" i="10"/>
  <c r="DZ23" i="10"/>
  <c r="ID22" i="10"/>
  <c r="HF22" i="10"/>
  <c r="GE22" i="10"/>
  <c r="DZ22" i="10"/>
  <c r="ID21" i="10"/>
  <c r="HF21" i="10"/>
  <c r="GE21" i="10"/>
  <c r="DZ21" i="10"/>
  <c r="DA21" i="10"/>
  <c r="BD21" i="10"/>
  <c r="ID20" i="10"/>
  <c r="HF20" i="10"/>
  <c r="GE20" i="10"/>
  <c r="DZ20" i="10"/>
  <c r="DA20" i="10"/>
  <c r="BD20" i="10"/>
  <c r="ID19" i="10"/>
  <c r="HF19" i="10"/>
  <c r="GE19" i="10"/>
  <c r="DZ19" i="10"/>
  <c r="DA19" i="10"/>
  <c r="BD19" i="10"/>
  <c r="ID18" i="10"/>
  <c r="HF18" i="10"/>
  <c r="GE18" i="10"/>
  <c r="DZ18" i="10"/>
  <c r="DA18" i="10"/>
  <c r="BD18" i="10"/>
  <c r="Q18" i="10"/>
  <c r="ID17" i="10"/>
  <c r="HF17" i="10"/>
  <c r="GE17" i="10"/>
  <c r="DZ17" i="10"/>
  <c r="DA17" i="10"/>
  <c r="BD17" i="10"/>
  <c r="Q17" i="10"/>
  <c r="ID16" i="10"/>
  <c r="HF16" i="10"/>
  <c r="GE16" i="10"/>
  <c r="DZ16" i="10"/>
  <c r="DA16" i="10"/>
  <c r="BD16" i="10"/>
  <c r="Q16" i="10"/>
  <c r="ID15" i="10"/>
  <c r="HF15" i="10"/>
  <c r="GE15" i="10"/>
  <c r="DZ15" i="10"/>
  <c r="DA15" i="10"/>
  <c r="BD15" i="10"/>
  <c r="Q15" i="10"/>
  <c r="ID14" i="10"/>
  <c r="HF14" i="10"/>
  <c r="GE14" i="10"/>
  <c r="DZ14" i="10"/>
  <c r="DA14" i="10"/>
  <c r="BD14" i="10"/>
  <c r="Q14" i="10"/>
  <c r="ID13" i="10"/>
  <c r="HF13" i="10"/>
  <c r="GE13" i="10"/>
  <c r="DZ13" i="10"/>
  <c r="DA13" i="10"/>
  <c r="BD13" i="10"/>
  <c r="Q13" i="10"/>
  <c r="ID12" i="10"/>
  <c r="HF12" i="10"/>
  <c r="GE12" i="10"/>
  <c r="DZ12" i="10"/>
  <c r="DA12" i="10"/>
  <c r="BD12" i="10"/>
  <c r="Q12" i="10"/>
  <c r="ID11" i="10"/>
  <c r="HF11" i="10"/>
  <c r="GE11" i="10"/>
  <c r="DZ11" i="10"/>
  <c r="DA11" i="10"/>
  <c r="BD11" i="10"/>
  <c r="Q11" i="10"/>
  <c r="ID10" i="10"/>
  <c r="HF10" i="10"/>
  <c r="GE10" i="10"/>
  <c r="DZ10" i="10"/>
  <c r="DA10" i="10"/>
  <c r="BD10" i="10"/>
  <c r="Q10" i="10"/>
  <c r="ID9" i="10"/>
  <c r="HF9" i="10"/>
  <c r="GE9" i="10"/>
  <c r="DZ9" i="10"/>
  <c r="DA9" i="10"/>
  <c r="BD9" i="10"/>
  <c r="Q9" i="10"/>
  <c r="ID8" i="10"/>
  <c r="HF8" i="10"/>
  <c r="GE8" i="10"/>
  <c r="DZ8" i="10"/>
  <c r="DA8" i="10"/>
  <c r="BD8" i="10"/>
  <c r="Q8" i="10"/>
  <c r="ID7" i="10"/>
  <c r="HF7" i="10"/>
  <c r="GE7" i="10"/>
  <c r="DZ7" i="10"/>
  <c r="DA7" i="10"/>
  <c r="BD7" i="10"/>
  <c r="Q7" i="10"/>
  <c r="HF6" i="10"/>
  <c r="GE6" i="10"/>
  <c r="BD6" i="10"/>
  <c r="Q6" i="10"/>
  <c r="II24" i="9"/>
  <c r="II23" i="9"/>
  <c r="II22" i="9"/>
  <c r="II21" i="9"/>
  <c r="II20" i="9"/>
  <c r="II19" i="9"/>
  <c r="II18" i="9"/>
  <c r="II17" i="9"/>
  <c r="II16" i="9"/>
  <c r="II15" i="9"/>
  <c r="II14" i="9"/>
  <c r="II13" i="9"/>
  <c r="II12" i="9"/>
  <c r="HL24" i="9"/>
  <c r="HL23" i="9"/>
  <c r="HL22" i="9"/>
  <c r="HL21" i="9"/>
  <c r="HL20" i="9"/>
  <c r="HL19" i="9"/>
  <c r="HL18" i="9"/>
  <c r="HK17" i="9"/>
  <c r="HL17" i="9" s="1"/>
  <c r="HL16" i="9"/>
  <c r="HL15" i="9"/>
  <c r="HL14" i="9"/>
  <c r="HL13" i="9"/>
  <c r="HL12" i="9"/>
  <c r="II7" i="9"/>
  <c r="II8" i="9"/>
  <c r="II9" i="9"/>
  <c r="II10" i="9"/>
  <c r="II11" i="9"/>
  <c r="II6" i="9"/>
  <c r="HL7" i="9"/>
  <c r="HL8" i="9"/>
  <c r="HL9" i="9"/>
  <c r="HL10" i="9"/>
  <c r="HL11" i="9"/>
  <c r="HL6" i="9"/>
  <c r="GO28" i="9"/>
  <c r="GO27" i="9"/>
  <c r="GO26" i="9"/>
  <c r="GO25" i="9"/>
  <c r="GO24" i="9"/>
  <c r="GO23" i="9"/>
  <c r="GO22" i="9"/>
  <c r="GO21" i="9"/>
  <c r="GO20" i="9"/>
  <c r="GO19" i="9"/>
  <c r="GO18" i="9"/>
  <c r="GO17" i="9"/>
  <c r="GO16" i="9"/>
  <c r="GO15" i="9"/>
  <c r="GO14" i="9"/>
  <c r="GO13" i="9"/>
  <c r="GO12" i="9"/>
  <c r="GO11" i="9"/>
  <c r="GO10" i="9"/>
  <c r="GO9" i="9"/>
  <c r="GO8" i="9"/>
  <c r="GO7" i="9"/>
  <c r="GO6" i="9"/>
  <c r="FN7" i="9"/>
  <c r="FN8" i="9"/>
  <c r="FN9" i="9"/>
  <c r="FN10" i="9"/>
  <c r="FN11" i="9"/>
  <c r="FN12" i="9"/>
  <c r="FN13" i="9"/>
  <c r="FN14" i="9"/>
  <c r="FN15" i="9"/>
  <c r="FN16" i="9"/>
  <c r="FN17" i="9"/>
  <c r="FN18" i="9"/>
  <c r="FN19" i="9"/>
  <c r="FN20" i="9"/>
  <c r="FN21" i="9"/>
  <c r="FN22" i="9"/>
  <c r="FN23" i="9"/>
  <c r="FN24" i="9"/>
  <c r="FN25" i="9"/>
  <c r="FN26" i="9"/>
  <c r="FN27" i="9"/>
  <c r="FN28" i="9"/>
  <c r="FN6" i="9"/>
  <c r="EM27" i="9"/>
  <c r="EM7" i="9"/>
  <c r="EM8" i="9"/>
  <c r="EM9" i="9"/>
  <c r="EM10" i="9"/>
  <c r="EM11" i="9"/>
  <c r="EM12" i="9"/>
  <c r="EM13" i="9"/>
  <c r="EM14" i="9"/>
  <c r="EM15" i="9"/>
  <c r="EM16" i="9"/>
  <c r="EM17" i="9"/>
  <c r="EM18" i="9"/>
  <c r="EM19" i="9"/>
  <c r="EM20" i="9"/>
  <c r="EM21" i="9"/>
  <c r="EM22" i="9"/>
  <c r="EM23" i="9"/>
  <c r="EM24" i="9"/>
  <c r="EM25" i="9"/>
  <c r="EM26" i="9"/>
  <c r="EM6" i="9"/>
  <c r="CP7" i="9"/>
  <c r="CP8" i="9"/>
  <c r="CP9" i="9"/>
  <c r="CP10" i="9"/>
  <c r="CP11" i="9"/>
  <c r="CP12" i="9"/>
  <c r="CP13" i="9"/>
  <c r="CP14" i="9"/>
  <c r="CP15" i="9"/>
  <c r="CP16" i="9"/>
  <c r="CP17" i="9"/>
  <c r="CP18" i="9"/>
  <c r="CP19" i="9"/>
  <c r="CP20" i="9"/>
  <c r="CP21" i="9"/>
  <c r="CP6" i="9"/>
  <c r="DM8" i="9"/>
  <c r="DM9" i="9"/>
  <c r="DM10" i="9"/>
  <c r="DM11" i="9"/>
  <c r="DM12" i="9"/>
  <c r="DM13" i="9"/>
  <c r="DM14" i="9"/>
  <c r="DM15" i="9"/>
  <c r="DM16" i="9"/>
  <c r="DM17" i="9"/>
  <c r="DM18" i="9"/>
  <c r="DM19" i="9"/>
  <c r="DM20" i="9"/>
  <c r="DM21" i="9"/>
  <c r="DM22" i="9"/>
  <c r="DM23" i="9"/>
  <c r="DM24" i="9"/>
  <c r="DM7" i="9"/>
  <c r="BB7" i="9"/>
  <c r="BB8" i="9"/>
  <c r="BB9" i="9"/>
  <c r="BB10" i="9"/>
  <c r="BB11" i="9"/>
  <c r="BB12" i="9"/>
  <c r="BB13" i="9"/>
  <c r="BB14" i="9"/>
  <c r="BB15" i="9"/>
  <c r="BB16" i="9"/>
  <c r="BB17" i="9"/>
  <c r="BB18" i="9"/>
  <c r="BB19" i="9"/>
  <c r="BB20" i="9"/>
  <c r="BB21" i="9"/>
  <c r="BB6" i="9"/>
  <c r="BV7" i="9"/>
  <c r="BV8" i="9"/>
  <c r="BV9" i="9"/>
  <c r="BV10" i="9"/>
  <c r="BV11" i="9"/>
  <c r="BV12" i="9"/>
  <c r="BV13" i="9"/>
  <c r="BV14" i="9"/>
  <c r="BV15" i="9"/>
  <c r="BV16" i="9"/>
  <c r="BV17" i="9"/>
  <c r="BV18" i="9"/>
  <c r="BV19" i="9"/>
  <c r="BV20" i="9"/>
  <c r="BV6" i="9"/>
  <c r="AH7" i="9"/>
  <c r="AH8" i="9"/>
  <c r="AH9" i="9"/>
  <c r="AH10" i="9"/>
  <c r="AH11" i="9"/>
  <c r="AH12" i="9"/>
  <c r="AH13" i="9"/>
  <c r="AH14" i="9"/>
  <c r="AH15" i="9"/>
  <c r="AH16" i="9"/>
  <c r="AH17" i="9"/>
  <c r="AH18" i="9"/>
  <c r="AH19" i="9"/>
  <c r="AH6" i="9"/>
  <c r="P7" i="9"/>
  <c r="P8" i="9"/>
  <c r="P9" i="9"/>
  <c r="P10" i="9"/>
  <c r="P11" i="9"/>
  <c r="P12" i="9"/>
  <c r="P13" i="9"/>
  <c r="P14" i="9"/>
  <c r="P15" i="9"/>
  <c r="P16" i="9"/>
  <c r="P17" i="9"/>
  <c r="P18" i="9"/>
  <c r="P6" i="9"/>
  <c r="K12" i="1"/>
</calcChain>
</file>

<file path=xl/sharedStrings.xml><?xml version="1.0" encoding="utf-8"?>
<sst xmlns="http://schemas.openxmlformats.org/spreadsheetml/2006/main" count="3674" uniqueCount="233">
  <si>
    <t>Animal Accuracy</t>
  </si>
  <si>
    <t>Camera 1</t>
  </si>
  <si>
    <t>Camera 2</t>
  </si>
  <si>
    <t>Camera 3</t>
  </si>
  <si>
    <t>Camera 5</t>
  </si>
  <si>
    <t>Camera 6</t>
  </si>
  <si>
    <t>Camera 7</t>
  </si>
  <si>
    <t>Camera 8</t>
  </si>
  <si>
    <t>Camera 11</t>
  </si>
  <si>
    <t>Camera 12</t>
  </si>
  <si>
    <t>Camera 13</t>
  </si>
  <si>
    <t>Camera 14</t>
  </si>
  <si>
    <t>Animal Species</t>
  </si>
  <si>
    <t xml:space="preserve">Predicted </t>
  </si>
  <si>
    <t>Predicted</t>
  </si>
  <si>
    <t xml:space="preserve">Animal Species </t>
  </si>
  <si>
    <t>Beaver</t>
  </si>
  <si>
    <t>Bird</t>
  </si>
  <si>
    <t>Boar</t>
  </si>
  <si>
    <t>Bobcat</t>
  </si>
  <si>
    <t>Corvid</t>
  </si>
  <si>
    <t>Coyote</t>
  </si>
  <si>
    <t>Deer</t>
  </si>
  <si>
    <t>Dog</t>
  </si>
  <si>
    <t>Person</t>
  </si>
  <si>
    <t>Other/Object</t>
  </si>
  <si>
    <t>Raccoon</t>
  </si>
  <si>
    <t>Rodent</t>
  </si>
  <si>
    <t>Skunk</t>
  </si>
  <si>
    <t>Unidentified</t>
  </si>
  <si>
    <t>Total</t>
  </si>
  <si>
    <t>Rabbit</t>
  </si>
  <si>
    <t>Actual</t>
  </si>
  <si>
    <t>Opossum</t>
  </si>
  <si>
    <t>Squirrel</t>
  </si>
  <si>
    <t>Fox</t>
  </si>
  <si>
    <t xml:space="preserve">Total </t>
  </si>
  <si>
    <t>Cat</t>
  </si>
  <si>
    <t xml:space="preserve">Beaver </t>
  </si>
  <si>
    <t>Cougar</t>
  </si>
  <si>
    <t>Cow</t>
  </si>
  <si>
    <t>Armadillo</t>
  </si>
  <si>
    <t>Weasel</t>
  </si>
  <si>
    <t>Reptile</t>
  </si>
  <si>
    <t>Empties</t>
  </si>
  <si>
    <t>0/5</t>
  </si>
  <si>
    <t>0/335</t>
  </si>
  <si>
    <t>0/555</t>
  </si>
  <si>
    <t>14/931</t>
  </si>
  <si>
    <t>swan</t>
  </si>
  <si>
    <t>0/413</t>
  </si>
  <si>
    <t>0/483</t>
  </si>
  <si>
    <t>0/822</t>
  </si>
  <si>
    <t>0/712</t>
  </si>
  <si>
    <t>0/835</t>
  </si>
  <si>
    <t>0/749</t>
  </si>
  <si>
    <t>0/462</t>
  </si>
  <si>
    <t>0/50</t>
  </si>
  <si>
    <t>0/105</t>
  </si>
  <si>
    <t>0/338</t>
  </si>
  <si>
    <t>0/690</t>
  </si>
  <si>
    <t>0/784</t>
  </si>
  <si>
    <t>13/893</t>
  </si>
  <si>
    <t>0/970</t>
  </si>
  <si>
    <t>0/847</t>
  </si>
  <si>
    <t>0/740</t>
  </si>
  <si>
    <t>0/415</t>
  </si>
  <si>
    <t>0/618</t>
  </si>
  <si>
    <t>0/78</t>
  </si>
  <si>
    <t>5/730</t>
  </si>
  <si>
    <t>0/998</t>
  </si>
  <si>
    <t>0/857</t>
  </si>
  <si>
    <t>0/468</t>
  </si>
  <si>
    <t>0/326</t>
  </si>
  <si>
    <t>0/1</t>
  </si>
  <si>
    <t>0/126</t>
  </si>
  <si>
    <t>0/354</t>
  </si>
  <si>
    <t xml:space="preserve"> </t>
  </si>
  <si>
    <t>0/139</t>
  </si>
  <si>
    <t>1/456</t>
  </si>
  <si>
    <t>0/812</t>
  </si>
  <si>
    <t xml:space="preserve"> 4/8</t>
  </si>
  <si>
    <t>1/660</t>
  </si>
  <si>
    <t>0/873</t>
  </si>
  <si>
    <t>4/1487</t>
  </si>
  <si>
    <t>0/942</t>
  </si>
  <si>
    <t>0/986</t>
  </si>
  <si>
    <t>0/860</t>
  </si>
  <si>
    <t>32/999</t>
  </si>
  <si>
    <t>racoon</t>
  </si>
  <si>
    <t>Racoon</t>
  </si>
  <si>
    <t>2/399</t>
  </si>
  <si>
    <t xml:space="preserve"> 9/2614</t>
  </si>
  <si>
    <t>0/991</t>
  </si>
  <si>
    <t>0/856</t>
  </si>
  <si>
    <t>0/1752</t>
  </si>
  <si>
    <t>0/887</t>
  </si>
  <si>
    <t>0/962</t>
  </si>
  <si>
    <t>0/902</t>
  </si>
  <si>
    <t>154/999</t>
  </si>
  <si>
    <t>person</t>
  </si>
  <si>
    <t>Rabbits</t>
  </si>
  <si>
    <t>0/837</t>
  </si>
  <si>
    <t>2/1560</t>
  </si>
  <si>
    <t>0/958</t>
  </si>
  <si>
    <t>0/999</t>
  </si>
  <si>
    <t>2/799</t>
  </si>
  <si>
    <t>143/999</t>
  </si>
  <si>
    <t>turtle</t>
  </si>
  <si>
    <t>0/28</t>
  </si>
  <si>
    <t>0/906</t>
  </si>
  <si>
    <t>0/1922</t>
  </si>
  <si>
    <t>0/992</t>
  </si>
  <si>
    <t>0/912</t>
  </si>
  <si>
    <t>33/999</t>
  </si>
  <si>
    <t>boar</t>
  </si>
  <si>
    <t>0/834</t>
  </si>
  <si>
    <t>0/1139</t>
  </si>
  <si>
    <t>0/858</t>
  </si>
  <si>
    <t>0/477</t>
  </si>
  <si>
    <t>0/785</t>
  </si>
  <si>
    <t>54/999</t>
  </si>
  <si>
    <t>armadillo</t>
  </si>
  <si>
    <t>0/593</t>
  </si>
  <si>
    <t>0/907</t>
  </si>
  <si>
    <t>0/264</t>
  </si>
  <si>
    <t>0/151</t>
  </si>
  <si>
    <t>62/999</t>
  </si>
  <si>
    <t>bird</t>
  </si>
  <si>
    <t>0/479</t>
  </si>
  <si>
    <t>67/999</t>
  </si>
  <si>
    <t>0/914</t>
  </si>
  <si>
    <t>65/999</t>
  </si>
  <si>
    <t>0/976</t>
  </si>
  <si>
    <t>18/999</t>
  </si>
  <si>
    <t>0/714</t>
  </si>
  <si>
    <t>23/744</t>
  </si>
  <si>
    <t>Opposum</t>
  </si>
  <si>
    <t>Raptor</t>
  </si>
  <si>
    <t>heat maps</t>
  </si>
  <si>
    <t>animals/time</t>
  </si>
  <si>
    <t>does the framework actually work</t>
  </si>
  <si>
    <t>how was distribution change</t>
  </si>
  <si>
    <t>empties correct</t>
  </si>
  <si>
    <t>0/0</t>
  </si>
  <si>
    <t>0/490</t>
  </si>
  <si>
    <t>0/1539</t>
  </si>
  <si>
    <t>0/955</t>
  </si>
  <si>
    <t>0/977</t>
  </si>
  <si>
    <t>0/989</t>
  </si>
  <si>
    <t>0/191</t>
  </si>
  <si>
    <t>1/849</t>
  </si>
  <si>
    <t>1/171</t>
  </si>
  <si>
    <t>0/995</t>
  </si>
  <si>
    <t>0/990</t>
  </si>
  <si>
    <t>0/983</t>
  </si>
  <si>
    <t>0/961</t>
  </si>
  <si>
    <t>0/946</t>
  </si>
  <si>
    <t>0/979</t>
  </si>
  <si>
    <t>0/941</t>
  </si>
  <si>
    <t>0/994</t>
  </si>
  <si>
    <t>0/981</t>
  </si>
  <si>
    <t>4/974</t>
  </si>
  <si>
    <t>0/919</t>
  </si>
  <si>
    <t>0/507</t>
  </si>
  <si>
    <t>5/945</t>
  </si>
  <si>
    <t>0/580</t>
  </si>
  <si>
    <t>4/975</t>
  </si>
  <si>
    <t>0/980</t>
  </si>
  <si>
    <t>0/973</t>
  </si>
  <si>
    <t>0/876</t>
  </si>
  <si>
    <t>0/390</t>
  </si>
  <si>
    <t xml:space="preserve">Squirrel </t>
  </si>
  <si>
    <t>Camera captured no images.</t>
  </si>
  <si>
    <t>0/982</t>
  </si>
  <si>
    <t>0/825</t>
  </si>
  <si>
    <t>8/974</t>
  </si>
  <si>
    <t>0/867</t>
  </si>
  <si>
    <t>0/927</t>
  </si>
  <si>
    <t>30/939</t>
  </si>
  <si>
    <t>0/603</t>
  </si>
  <si>
    <t>2/541</t>
  </si>
  <si>
    <t>Dr. Valdez picked up</t>
  </si>
  <si>
    <t>11/106</t>
  </si>
  <si>
    <t>0/836</t>
  </si>
  <si>
    <t>sd cards with his class, need to</t>
  </si>
  <si>
    <t>0/954</t>
  </si>
  <si>
    <t>0/614</t>
  </si>
  <si>
    <t>double check for data.</t>
  </si>
  <si>
    <t>0/572</t>
  </si>
  <si>
    <t>0/584</t>
  </si>
  <si>
    <t>0/996</t>
  </si>
  <si>
    <t>0/570</t>
  </si>
  <si>
    <t>0/366</t>
  </si>
  <si>
    <t xml:space="preserve">Reptile </t>
  </si>
  <si>
    <t>0/16</t>
  </si>
  <si>
    <t>1/650</t>
  </si>
  <si>
    <t>0/809</t>
  </si>
  <si>
    <t>3/899</t>
  </si>
  <si>
    <t>0/85</t>
  </si>
  <si>
    <t>0/287</t>
  </si>
  <si>
    <t>0/383</t>
  </si>
  <si>
    <t>0/904</t>
  </si>
  <si>
    <t>0/940</t>
  </si>
  <si>
    <t>0/969</t>
  </si>
  <si>
    <t>0/866</t>
  </si>
  <si>
    <t>0/972</t>
  </si>
  <si>
    <t>3/318</t>
  </si>
  <si>
    <t>0/984</t>
  </si>
  <si>
    <t>0/190</t>
  </si>
  <si>
    <t>0/923</t>
  </si>
  <si>
    <t>0/951</t>
  </si>
  <si>
    <t>0/993</t>
  </si>
  <si>
    <t>0/194</t>
  </si>
  <si>
    <t>10/960</t>
  </si>
  <si>
    <t>17/937</t>
  </si>
  <si>
    <t>No photos Captured</t>
  </si>
  <si>
    <t>0/205</t>
  </si>
  <si>
    <t>0/253</t>
  </si>
  <si>
    <t>21/798</t>
  </si>
  <si>
    <t>0/313</t>
  </si>
  <si>
    <t>Lost Camera</t>
  </si>
  <si>
    <t>0/84</t>
  </si>
  <si>
    <t>0/40</t>
  </si>
  <si>
    <t>0/134</t>
  </si>
  <si>
    <t>0/952</t>
  </si>
  <si>
    <t>4/583</t>
  </si>
  <si>
    <t>0/953</t>
  </si>
  <si>
    <t>0/944</t>
  </si>
  <si>
    <t>2/969</t>
  </si>
  <si>
    <t>0/119</t>
  </si>
  <si>
    <t xml:space="preserve">Armadillo </t>
  </si>
  <si>
    <t>Camera lost/stolen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</si>
</sst>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??/16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2" fontId="0" fillId="0" borderId="0" xfId="0" applyNumberFormat="1"/>
    <xf numFmtId="164" fontId="0" fillId="0" borderId="0" xfId="0" applyNumberFormat="1"/>
    <xf numFmtId="16" fontId="0" fillId="0" borderId="0" xfId="0" applyNumberFormat="1"/>
    <xf numFmtId="17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1C9A0-1D4E-4936-A852-DD52B4B2E3C5}">
  <dimension ref="A1:IJ28"/>
  <sheetViews>
    <sheetView zoomScale="80" zoomScaleNormal="80" workbookViewId="0">
      <selection activeCell="H16" sqref="H16"/>
    </sheetView>
  </sheetViews>
  <sheetFormatPr defaultRowHeight="15" customHeight="1" x14ac:dyDescent="0.45"/>
  <cols>
    <col min="1" max="1" width="5.73046875" bestFit="1" customWidth="1"/>
    <col min="2" max="2" width="13.86328125" bestFit="1" customWidth="1"/>
    <col min="3" max="3" width="6.1328125" bestFit="1" customWidth="1"/>
    <col min="4" max="4" width="4" bestFit="1" customWidth="1"/>
    <col min="5" max="5" width="4.3984375" bestFit="1" customWidth="1"/>
    <col min="6" max="6" width="6.265625" bestFit="1" customWidth="1"/>
    <col min="7" max="7" width="5.73046875" bestFit="1" customWidth="1"/>
    <col min="8" max="8" width="6.1328125" bestFit="1" customWidth="1"/>
    <col min="9" max="9" width="4.3984375" bestFit="1" customWidth="1"/>
    <col min="10" max="10" width="3.86328125" bestFit="1" customWidth="1"/>
    <col min="11" max="11" width="6" bestFit="1" customWidth="1"/>
    <col min="12" max="12" width="11.1328125" bestFit="1" customWidth="1"/>
    <col min="13" max="13" width="7.265625" bestFit="1" customWidth="1"/>
    <col min="14" max="14" width="6.3984375" bestFit="1" customWidth="1"/>
    <col min="15" max="15" width="5.265625" bestFit="1" customWidth="1"/>
    <col min="16" max="16" width="10.59765625" bestFit="1" customWidth="1"/>
    <col min="17" max="17" width="4.73046875" bestFit="1" customWidth="1"/>
    <col min="18" max="18" width="8" customWidth="1"/>
    <col min="19" max="19" width="5.73046875" bestFit="1" customWidth="1"/>
    <col min="20" max="20" width="12.3984375" bestFit="1" customWidth="1"/>
    <col min="21" max="21" width="4" bestFit="1" customWidth="1"/>
    <col min="22" max="22" width="4.3984375" bestFit="1" customWidth="1"/>
    <col min="23" max="23" width="6.265625" bestFit="1" customWidth="1"/>
    <col min="24" max="24" width="5.73046875" bestFit="1" customWidth="1"/>
    <col min="25" max="25" width="6.1328125" bestFit="1" customWidth="1"/>
    <col min="26" max="26" width="4.3984375" bestFit="1" customWidth="1"/>
    <col min="27" max="27" width="3.86328125" bestFit="1" customWidth="1"/>
    <col min="28" max="28" width="11.1328125" bestFit="1" customWidth="1"/>
    <col min="29" max="29" width="6.1328125" bestFit="1" customWidth="1"/>
    <col min="30" max="30" width="6" bestFit="1" customWidth="1"/>
    <col min="31" max="31" width="7.265625" bestFit="1" customWidth="1"/>
    <col min="32" max="32" width="6.59765625" bestFit="1" customWidth="1"/>
    <col min="33" max="33" width="5.265625" bestFit="1" customWidth="1"/>
    <col min="34" max="34" width="10.73046875" bestFit="1" customWidth="1"/>
    <col min="35" max="35" width="4.86328125" bestFit="1" customWidth="1"/>
    <col min="36" max="36" width="4.86328125" customWidth="1"/>
    <col min="37" max="37" width="5.73046875" bestFit="1" customWidth="1"/>
    <col min="38" max="38" width="12.3984375" bestFit="1" customWidth="1"/>
    <col min="39" max="39" width="4" bestFit="1" customWidth="1"/>
    <col min="40" max="40" width="4.3984375" bestFit="1" customWidth="1"/>
    <col min="41" max="41" width="6.265625" bestFit="1" customWidth="1"/>
    <col min="42" max="42" width="5.73046875" bestFit="1" customWidth="1"/>
    <col min="43" max="43" width="6.1328125" bestFit="1" customWidth="1"/>
    <col min="44" max="44" width="4.3984375" bestFit="1" customWidth="1"/>
    <col min="45" max="45" width="3.86328125" bestFit="1" customWidth="1"/>
    <col min="46" max="46" width="8" bestFit="1" customWidth="1"/>
    <col min="47" max="47" width="11.1328125" bestFit="1" customWidth="1"/>
    <col min="48" max="48" width="6" bestFit="1" customWidth="1"/>
    <col min="49" max="49" width="5.86328125" bestFit="1" customWidth="1"/>
    <col min="50" max="50" width="7.265625" bestFit="1" customWidth="1"/>
    <col min="51" max="51" width="6.3984375" bestFit="1" customWidth="1"/>
    <col min="52" max="52" width="5.265625" bestFit="1" customWidth="1"/>
    <col min="53" max="53" width="6.86328125" bestFit="1" customWidth="1"/>
    <col min="54" max="54" width="10.59765625" bestFit="1" customWidth="1"/>
    <col min="55" max="56" width="9.265625" customWidth="1"/>
    <col min="59" max="59" width="14.265625" bestFit="1" customWidth="1"/>
    <col min="60" max="60" width="4" bestFit="1" customWidth="1"/>
    <col min="61" max="61" width="4.3984375" bestFit="1" customWidth="1"/>
    <col min="62" max="62" width="6.265625" bestFit="1" customWidth="1"/>
    <col min="63" max="63" width="6" bestFit="1" customWidth="1"/>
    <col min="64" max="64" width="6.3984375" bestFit="1" customWidth="1"/>
    <col min="65" max="65" width="4.59765625" bestFit="1" customWidth="1"/>
    <col min="66" max="66" width="4" bestFit="1" customWidth="1"/>
    <col min="67" max="67" width="3.59765625" bestFit="1" customWidth="1"/>
    <col min="68" max="68" width="11.265625" bestFit="1" customWidth="1"/>
    <col min="69" max="69" width="6.1328125" bestFit="1" customWidth="1"/>
    <col min="70" max="70" width="6" bestFit="1" customWidth="1"/>
    <col min="71" max="71" width="7.3984375" bestFit="1" customWidth="1"/>
    <col min="72" max="72" width="6.59765625" bestFit="1" customWidth="1"/>
    <col min="73" max="73" width="5.59765625" bestFit="1" customWidth="1"/>
    <col min="74" max="74" width="10.73046875" bestFit="1" customWidth="1"/>
    <col min="75" max="76" width="10.73046875" customWidth="1"/>
    <col min="78" max="78" width="12.3984375" bestFit="1" customWidth="1"/>
    <col min="79" max="79" width="4" bestFit="1" customWidth="1"/>
    <col min="80" max="80" width="4.3984375" bestFit="1" customWidth="1"/>
    <col min="81" max="81" width="6.265625" bestFit="1" customWidth="1"/>
    <col min="82" max="82" width="3.265625" bestFit="1" customWidth="1"/>
    <col min="83" max="83" width="5.73046875" bestFit="1" customWidth="1"/>
    <col min="84" max="84" width="6.1328125" bestFit="1" customWidth="1"/>
    <col min="85" max="85" width="4.3984375" bestFit="1" customWidth="1"/>
    <col min="86" max="86" width="3.86328125" bestFit="1" customWidth="1"/>
    <col min="87" max="87" width="3.3984375" bestFit="1" customWidth="1"/>
    <col min="88" max="88" width="11.1328125" bestFit="1" customWidth="1"/>
    <col min="89" max="89" width="6" bestFit="1" customWidth="1"/>
    <col min="90" max="90" width="5.86328125" bestFit="1" customWidth="1"/>
    <col min="91" max="91" width="7.265625" bestFit="1" customWidth="1"/>
    <col min="92" max="92" width="6.3984375" bestFit="1" customWidth="1"/>
    <col min="93" max="93" width="5.265625" bestFit="1" customWidth="1"/>
    <col min="94" max="94" width="10.59765625" bestFit="1" customWidth="1"/>
    <col min="95" max="95" width="10.59765625" customWidth="1"/>
    <col min="98" max="98" width="12.3984375" bestFit="1" customWidth="1"/>
    <col min="99" max="99" width="6.59765625" bestFit="1" customWidth="1"/>
    <col min="100" max="100" width="4" bestFit="1" customWidth="1"/>
    <col min="101" max="101" width="4.3984375" bestFit="1" customWidth="1"/>
    <col min="102" max="102" width="6.265625" bestFit="1" customWidth="1"/>
    <col min="103" max="103" width="3.265625" bestFit="1" customWidth="1"/>
    <col min="104" max="104" width="5.73046875" bestFit="1" customWidth="1"/>
    <col min="105" max="105" width="6.1328125" bestFit="1" customWidth="1"/>
    <col min="106" max="106" width="4.3984375" bestFit="1" customWidth="1"/>
    <col min="107" max="107" width="3.86328125" bestFit="1" customWidth="1"/>
    <col min="108" max="108" width="3.3984375" bestFit="1" customWidth="1"/>
    <col min="109" max="109" width="8" bestFit="1" customWidth="1"/>
    <col min="110" max="110" width="11.1328125" bestFit="1" customWidth="1"/>
    <col min="111" max="111" width="6" bestFit="1" customWidth="1"/>
    <col min="112" max="112" width="5.86328125" bestFit="1" customWidth="1"/>
    <col min="113" max="113" width="7.265625" bestFit="1" customWidth="1"/>
    <col min="114" max="114" width="6.3984375" bestFit="1" customWidth="1"/>
    <col min="115" max="115" width="5.265625" bestFit="1" customWidth="1"/>
    <col min="116" max="116" width="6.86328125" bestFit="1" customWidth="1"/>
    <col min="117" max="117" width="10.59765625" bestFit="1" customWidth="1"/>
    <col min="118" max="118" width="5" bestFit="1" customWidth="1"/>
    <col min="119" max="119" width="6.3984375" customWidth="1"/>
    <col min="120" max="120" width="6" bestFit="1" customWidth="1"/>
    <col min="121" max="121" width="13" bestFit="1" customWidth="1"/>
    <col min="122" max="122" width="7.73046875" bestFit="1" customWidth="1"/>
    <col min="123" max="123" width="4.73046875" bestFit="1" customWidth="1"/>
    <col min="124" max="124" width="5.1328125" bestFit="1" customWidth="1"/>
    <col min="125" max="125" width="7.265625" bestFit="1" customWidth="1"/>
    <col min="126" max="126" width="4" bestFit="1" customWidth="1"/>
    <col min="127" max="127" width="6.73046875" bestFit="1" customWidth="1"/>
    <col min="128" max="128" width="7.265625" bestFit="1" customWidth="1"/>
    <col min="129" max="129" width="5" bestFit="1" customWidth="1"/>
    <col min="130" max="130" width="7.265625" bestFit="1" customWidth="1"/>
    <col min="131" max="131" width="5.265625" bestFit="1" customWidth="1"/>
    <col min="132" max="132" width="4.59765625" bestFit="1" customWidth="1"/>
    <col min="133" max="133" width="4.1328125" bestFit="1" customWidth="1"/>
    <col min="134" max="134" width="9.265625" bestFit="1" customWidth="1"/>
    <col min="135" max="135" width="12.86328125" bestFit="1" customWidth="1"/>
    <col min="136" max="136" width="7.1328125" bestFit="1" customWidth="1"/>
    <col min="137" max="137" width="6.86328125" bestFit="1" customWidth="1"/>
    <col min="138" max="138" width="8.59765625" bestFit="1" customWidth="1"/>
    <col min="139" max="139" width="7.3984375" bestFit="1" customWidth="1"/>
    <col min="140" max="140" width="6.265625" bestFit="1" customWidth="1"/>
    <col min="141" max="141" width="7.86328125" bestFit="1" customWidth="1"/>
    <col min="142" max="142" width="12" bestFit="1" customWidth="1"/>
    <col min="143" max="143" width="12" customWidth="1"/>
    <col min="147" max="147" width="14.265625" bestFit="1" customWidth="1"/>
    <col min="148" max="148" width="9.59765625" bestFit="1" customWidth="1"/>
    <col min="149" max="149" width="7.73046875" bestFit="1" customWidth="1"/>
    <col min="150" max="150" width="4.73046875" bestFit="1" customWidth="1"/>
    <col min="151" max="151" width="5.1328125" bestFit="1" customWidth="1"/>
    <col min="152" max="152" width="7.265625" bestFit="1" customWidth="1"/>
    <col min="153" max="153" width="4" bestFit="1" customWidth="1"/>
    <col min="154" max="154" width="6.73046875" bestFit="1" customWidth="1"/>
    <col min="155" max="155" width="7.265625" bestFit="1" customWidth="1"/>
    <col min="156" max="156" width="5" bestFit="1" customWidth="1"/>
    <col min="157" max="157" width="7.265625" bestFit="1" customWidth="1"/>
    <col min="158" max="158" width="5.265625" bestFit="1" customWidth="1"/>
    <col min="159" max="159" width="4.59765625" bestFit="1" customWidth="1"/>
    <col min="160" max="160" width="4.1328125" bestFit="1" customWidth="1"/>
    <col min="161" max="161" width="9.265625" bestFit="1" customWidth="1"/>
    <col min="162" max="162" width="12.86328125" bestFit="1" customWidth="1"/>
    <col min="163" max="163" width="7.1328125" bestFit="1" customWidth="1"/>
    <col min="164" max="164" width="6.86328125" bestFit="1" customWidth="1"/>
    <col min="165" max="165" width="8.59765625" bestFit="1" customWidth="1"/>
    <col min="166" max="166" width="7.3984375" bestFit="1" customWidth="1"/>
    <col min="167" max="167" width="6.265625" bestFit="1" customWidth="1"/>
    <col min="168" max="168" width="7.86328125" bestFit="1" customWidth="1"/>
    <col min="169" max="169" width="12" bestFit="1" customWidth="1"/>
    <col min="170" max="170" width="7.59765625" bestFit="1" customWidth="1"/>
    <col min="171" max="171" width="5.59765625" bestFit="1" customWidth="1"/>
    <col min="174" max="174" width="13" bestFit="1" customWidth="1"/>
    <col min="175" max="175" width="8.73046875" bestFit="1" customWidth="1"/>
    <col min="176" max="176" width="6.73046875" bestFit="1" customWidth="1"/>
    <col min="177" max="177" width="4" bestFit="1" customWidth="1"/>
    <col min="178" max="178" width="4.59765625" bestFit="1" customWidth="1"/>
    <col min="179" max="179" width="6.3984375" bestFit="1" customWidth="1"/>
    <col min="180" max="180" width="3.3984375" bestFit="1" customWidth="1"/>
    <col min="181" max="181" width="6" bestFit="1" customWidth="1"/>
    <col min="182" max="182" width="6.59765625" bestFit="1" customWidth="1"/>
    <col min="183" max="183" width="4.265625" bestFit="1" customWidth="1"/>
    <col min="184" max="184" width="6.59765625" bestFit="1" customWidth="1"/>
    <col min="185" max="185" width="4.73046875" bestFit="1" customWidth="1"/>
    <col min="186" max="186" width="4" bestFit="1" customWidth="1"/>
    <col min="187" max="187" width="3.73046875" bestFit="1" customWidth="1"/>
    <col min="188" max="188" width="8.3984375" bestFit="1" customWidth="1"/>
    <col min="189" max="189" width="11.59765625" bestFit="1" customWidth="1"/>
    <col min="190" max="190" width="6.265625" bestFit="1" customWidth="1"/>
    <col min="191" max="191" width="6" bestFit="1" customWidth="1"/>
    <col min="192" max="192" width="7.73046875" bestFit="1" customWidth="1"/>
    <col min="193" max="193" width="6.3984375" bestFit="1" customWidth="1"/>
    <col min="194" max="194" width="6.73046875" bestFit="1" customWidth="1"/>
    <col min="195" max="195" width="5.86328125" bestFit="1" customWidth="1"/>
    <col min="196" max="196" width="7.1328125" bestFit="1" customWidth="1"/>
    <col min="197" max="197" width="10.86328125" bestFit="1" customWidth="1"/>
    <col min="201" max="201" width="14.86328125" bestFit="1" customWidth="1"/>
    <col min="202" max="202" width="9.59765625" customWidth="1"/>
    <col min="203" max="203" width="7.73046875" customWidth="1"/>
    <col min="204" max="204" width="4.73046875" customWidth="1"/>
    <col min="205" max="205" width="5.1328125" customWidth="1"/>
    <col min="206" max="206" width="7.265625" customWidth="1"/>
    <col min="207" max="207" width="6.73046875" customWidth="1"/>
    <col min="208" max="208" width="7.265625" customWidth="1"/>
    <col min="209" max="209" width="5.265625" customWidth="1"/>
    <col min="210" max="210" width="4.59765625" customWidth="1"/>
    <col min="211" max="211" width="4.1328125" customWidth="1"/>
    <col min="212" max="212" width="9.265625" customWidth="1"/>
    <col min="213" max="213" width="12.86328125" customWidth="1"/>
    <col min="214" max="214" width="7.1328125" customWidth="1"/>
    <col min="215" max="215" width="6.86328125" customWidth="1"/>
    <col min="216" max="216" width="8.59765625" customWidth="1"/>
    <col min="217" max="217" width="7.3984375" customWidth="1"/>
    <col min="218" max="218" width="6.265625" customWidth="1"/>
    <col min="219" max="219" width="7.86328125" customWidth="1"/>
    <col min="220" max="220" width="12" customWidth="1"/>
    <col min="221" max="221" width="5.59765625" customWidth="1"/>
    <col min="222" max="223" width="10.59765625" customWidth="1"/>
    <col min="224" max="224" width="14.265625" bestFit="1" customWidth="1"/>
    <col min="225" max="225" width="8.3984375" bestFit="1" customWidth="1"/>
    <col min="226" max="226" width="6.59765625" bestFit="1" customWidth="1"/>
    <col min="227" max="227" width="4" bestFit="1" customWidth="1"/>
    <col min="228" max="228" width="4.3984375" bestFit="1" customWidth="1"/>
    <col min="229" max="229" width="6.265625" bestFit="1" customWidth="1"/>
    <col min="230" max="230" width="5.73046875" bestFit="1" customWidth="1"/>
    <col min="231" max="231" width="6.1328125" bestFit="1" customWidth="1"/>
    <col min="232" max="232" width="4.3984375" bestFit="1" customWidth="1"/>
    <col min="233" max="233" width="3.86328125" bestFit="1" customWidth="1"/>
    <col min="234" max="234" width="3.3984375" bestFit="1" customWidth="1"/>
    <col min="235" max="235" width="8" bestFit="1" customWidth="1"/>
    <col min="236" max="236" width="11.1328125" bestFit="1" customWidth="1"/>
    <col min="237" max="237" width="6" bestFit="1" customWidth="1"/>
    <col min="238" max="238" width="5.86328125" bestFit="1" customWidth="1"/>
    <col min="239" max="239" width="7.265625" bestFit="1" customWidth="1"/>
    <col min="240" max="240" width="6.3984375" bestFit="1" customWidth="1"/>
    <col min="241" max="241" width="5.265625" bestFit="1" customWidth="1"/>
    <col min="242" max="242" width="6.86328125" bestFit="1" customWidth="1"/>
    <col min="243" max="243" width="10.59765625" bestFit="1" customWidth="1"/>
    <col min="244" max="244" width="4.73046875" bestFit="1" customWidth="1"/>
  </cols>
  <sheetData>
    <row r="1" spans="1:244" ht="14.25" x14ac:dyDescent="0.45">
      <c r="B1" t="s">
        <v>0</v>
      </c>
    </row>
    <row r="3" spans="1:244" ht="14.25" x14ac:dyDescent="0.45">
      <c r="B3" t="s">
        <v>1</v>
      </c>
      <c r="T3" t="s">
        <v>2</v>
      </c>
      <c r="AL3" t="s">
        <v>3</v>
      </c>
      <c r="BG3" t="s">
        <v>4</v>
      </c>
      <c r="BZ3" t="s">
        <v>5</v>
      </c>
      <c r="CT3" t="s">
        <v>6</v>
      </c>
      <c r="DQ3" t="s">
        <v>7</v>
      </c>
      <c r="EQ3" t="s">
        <v>8</v>
      </c>
      <c r="FR3" t="s">
        <v>9</v>
      </c>
      <c r="GS3" t="s">
        <v>10</v>
      </c>
      <c r="HP3" t="s">
        <v>11</v>
      </c>
    </row>
    <row r="4" spans="1:244" ht="14.25" customHeight="1" x14ac:dyDescent="0.45">
      <c r="B4" t="s">
        <v>12</v>
      </c>
      <c r="E4" s="6" t="s">
        <v>13</v>
      </c>
      <c r="F4" s="6"/>
      <c r="G4" s="6"/>
      <c r="H4" s="6"/>
      <c r="T4" t="s">
        <v>12</v>
      </c>
      <c r="V4" s="6" t="s">
        <v>14</v>
      </c>
      <c r="W4" s="6"/>
      <c r="AL4" t="s">
        <v>12</v>
      </c>
      <c r="AN4" s="6" t="s">
        <v>14</v>
      </c>
      <c r="AO4" s="6"/>
      <c r="BG4" t="s">
        <v>12</v>
      </c>
      <c r="BJ4" s="6" t="s">
        <v>14</v>
      </c>
      <c r="BK4" s="6"/>
      <c r="BZ4" t="s">
        <v>12</v>
      </c>
      <c r="CC4" s="6" t="s">
        <v>13</v>
      </c>
      <c r="CD4" s="6"/>
      <c r="CE4" s="6"/>
      <c r="CT4" t="s">
        <v>12</v>
      </c>
      <c r="CW4" s="6" t="s">
        <v>14</v>
      </c>
      <c r="CX4" s="6"/>
      <c r="DQ4" t="s">
        <v>12</v>
      </c>
      <c r="DS4" s="6" t="s">
        <v>14</v>
      </c>
      <c r="DT4" s="6"/>
      <c r="EQ4" t="s">
        <v>12</v>
      </c>
      <c r="ES4" s="6" t="s">
        <v>14</v>
      </c>
      <c r="ET4" s="6"/>
      <c r="FR4" t="s">
        <v>12</v>
      </c>
      <c r="GS4" t="s">
        <v>15</v>
      </c>
      <c r="GU4" s="6" t="s">
        <v>14</v>
      </c>
      <c r="GV4" s="6"/>
      <c r="HP4" t="s">
        <v>12</v>
      </c>
      <c r="HR4" s="6" t="s">
        <v>14</v>
      </c>
      <c r="HS4" s="6"/>
    </row>
    <row r="5" spans="1:244" ht="14.25" x14ac:dyDescent="0.45"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U5" t="s">
        <v>17</v>
      </c>
      <c r="V5" t="s">
        <v>18</v>
      </c>
      <c r="W5" t="s">
        <v>19</v>
      </c>
      <c r="X5" t="s">
        <v>20</v>
      </c>
      <c r="Y5" t="s">
        <v>21</v>
      </c>
      <c r="Z5" t="s">
        <v>22</v>
      </c>
      <c r="AA5" t="s">
        <v>23</v>
      </c>
      <c r="AB5" t="s">
        <v>25</v>
      </c>
      <c r="AC5" t="s">
        <v>24</v>
      </c>
      <c r="AD5" t="s">
        <v>31</v>
      </c>
      <c r="AE5" t="s">
        <v>26</v>
      </c>
      <c r="AF5" t="s">
        <v>27</v>
      </c>
      <c r="AG5" t="s">
        <v>28</v>
      </c>
      <c r="AH5" t="s">
        <v>29</v>
      </c>
      <c r="AI5" t="s">
        <v>30</v>
      </c>
      <c r="AK5" t="s">
        <v>32</v>
      </c>
      <c r="AM5" t="s">
        <v>17</v>
      </c>
      <c r="AN5" t="s">
        <v>18</v>
      </c>
      <c r="AO5" t="s">
        <v>19</v>
      </c>
      <c r="AP5" t="s">
        <v>20</v>
      </c>
      <c r="AQ5" t="s">
        <v>21</v>
      </c>
      <c r="AR5" t="s">
        <v>22</v>
      </c>
      <c r="AS5" t="s">
        <v>23</v>
      </c>
      <c r="AT5" t="s">
        <v>33</v>
      </c>
      <c r="AU5" t="s">
        <v>25</v>
      </c>
      <c r="AV5" t="s">
        <v>24</v>
      </c>
      <c r="AW5" t="s">
        <v>31</v>
      </c>
      <c r="AX5" t="s">
        <v>26</v>
      </c>
      <c r="AY5" t="s">
        <v>27</v>
      </c>
      <c r="AZ5" t="s">
        <v>28</v>
      </c>
      <c r="BA5" t="s">
        <v>34</v>
      </c>
      <c r="BB5" t="s">
        <v>29</v>
      </c>
      <c r="BC5" t="s">
        <v>30</v>
      </c>
      <c r="BH5" t="s">
        <v>17</v>
      </c>
      <c r="BI5" t="s">
        <v>18</v>
      </c>
      <c r="BJ5" t="s">
        <v>19</v>
      </c>
      <c r="BK5" t="s">
        <v>20</v>
      </c>
      <c r="BL5" t="s">
        <v>21</v>
      </c>
      <c r="BM5" t="s">
        <v>22</v>
      </c>
      <c r="BN5" t="s">
        <v>23</v>
      </c>
      <c r="BO5" t="s">
        <v>35</v>
      </c>
      <c r="BP5" t="s">
        <v>25</v>
      </c>
      <c r="BQ5" t="s">
        <v>24</v>
      </c>
      <c r="BR5" t="s">
        <v>31</v>
      </c>
      <c r="BS5" t="s">
        <v>26</v>
      </c>
      <c r="BT5" t="s">
        <v>27</v>
      </c>
      <c r="BU5" t="s">
        <v>28</v>
      </c>
      <c r="BV5" t="s">
        <v>29</v>
      </c>
      <c r="BW5" t="s">
        <v>36</v>
      </c>
      <c r="CA5" t="s">
        <v>17</v>
      </c>
      <c r="CB5" t="s">
        <v>18</v>
      </c>
      <c r="CC5" t="s">
        <v>19</v>
      </c>
      <c r="CD5" t="s">
        <v>37</v>
      </c>
      <c r="CE5" t="s">
        <v>20</v>
      </c>
      <c r="CF5" t="s">
        <v>21</v>
      </c>
      <c r="CG5" t="s">
        <v>22</v>
      </c>
      <c r="CH5" t="s">
        <v>23</v>
      </c>
      <c r="CI5" t="s">
        <v>35</v>
      </c>
      <c r="CJ5" t="s">
        <v>25</v>
      </c>
      <c r="CK5" t="s">
        <v>24</v>
      </c>
      <c r="CL5" t="s">
        <v>31</v>
      </c>
      <c r="CM5" t="s">
        <v>26</v>
      </c>
      <c r="CN5" t="s">
        <v>27</v>
      </c>
      <c r="CO5" t="s">
        <v>28</v>
      </c>
      <c r="CP5" t="s">
        <v>29</v>
      </c>
      <c r="CQ5" t="s">
        <v>30</v>
      </c>
      <c r="CU5" t="s">
        <v>38</v>
      </c>
      <c r="CV5" t="s">
        <v>17</v>
      </c>
      <c r="CW5" t="s">
        <v>18</v>
      </c>
      <c r="CX5" t="s">
        <v>19</v>
      </c>
      <c r="CY5" t="s">
        <v>37</v>
      </c>
      <c r="CZ5" t="s">
        <v>20</v>
      </c>
      <c r="DA5" t="s">
        <v>21</v>
      </c>
      <c r="DB5" t="s">
        <v>22</v>
      </c>
      <c r="DC5" t="s">
        <v>23</v>
      </c>
      <c r="DD5" t="s">
        <v>35</v>
      </c>
      <c r="DE5" t="s">
        <v>33</v>
      </c>
      <c r="DF5" t="s">
        <v>25</v>
      </c>
      <c r="DG5" t="s">
        <v>24</v>
      </c>
      <c r="DH5" t="s">
        <v>31</v>
      </c>
      <c r="DI5" t="s">
        <v>26</v>
      </c>
      <c r="DJ5" t="s">
        <v>27</v>
      </c>
      <c r="DK5" t="s">
        <v>28</v>
      </c>
      <c r="DL5" t="s">
        <v>34</v>
      </c>
      <c r="DM5" t="s">
        <v>29</v>
      </c>
      <c r="DN5" t="s">
        <v>30</v>
      </c>
      <c r="DR5" t="s">
        <v>38</v>
      </c>
      <c r="DS5" t="s">
        <v>17</v>
      </c>
      <c r="DT5" t="s">
        <v>18</v>
      </c>
      <c r="DU5" t="s">
        <v>19</v>
      </c>
      <c r="DV5" t="s">
        <v>37</v>
      </c>
      <c r="DW5" t="s">
        <v>20</v>
      </c>
      <c r="DX5" t="s">
        <v>39</v>
      </c>
      <c r="DY5" t="s">
        <v>40</v>
      </c>
      <c r="DZ5" t="s">
        <v>21</v>
      </c>
      <c r="EA5" t="s">
        <v>22</v>
      </c>
      <c r="EB5" t="s">
        <v>23</v>
      </c>
      <c r="EC5" t="s">
        <v>35</v>
      </c>
      <c r="ED5" t="s">
        <v>33</v>
      </c>
      <c r="EE5" t="s">
        <v>25</v>
      </c>
      <c r="EF5" t="s">
        <v>24</v>
      </c>
      <c r="EG5" t="s">
        <v>31</v>
      </c>
      <c r="EH5" t="s">
        <v>26</v>
      </c>
      <c r="EI5" t="s">
        <v>27</v>
      </c>
      <c r="EJ5" t="s">
        <v>28</v>
      </c>
      <c r="EK5" t="s">
        <v>34</v>
      </c>
      <c r="EL5" t="s">
        <v>29</v>
      </c>
      <c r="EM5" t="s">
        <v>41</v>
      </c>
      <c r="EN5" t="s">
        <v>30</v>
      </c>
      <c r="ER5" t="s">
        <v>41</v>
      </c>
      <c r="ES5" t="s">
        <v>38</v>
      </c>
      <c r="ET5" t="s">
        <v>17</v>
      </c>
      <c r="EU5" t="s">
        <v>18</v>
      </c>
      <c r="EV5" t="s">
        <v>19</v>
      </c>
      <c r="EW5" t="s">
        <v>37</v>
      </c>
      <c r="EX5" t="s">
        <v>20</v>
      </c>
      <c r="EY5" t="s">
        <v>39</v>
      </c>
      <c r="EZ5" t="s">
        <v>40</v>
      </c>
      <c r="FA5" t="s">
        <v>21</v>
      </c>
      <c r="FB5" t="s">
        <v>22</v>
      </c>
      <c r="FC5" t="s">
        <v>23</v>
      </c>
      <c r="FD5" t="s">
        <v>35</v>
      </c>
      <c r="FE5" t="s">
        <v>33</v>
      </c>
      <c r="FF5" t="s">
        <v>25</v>
      </c>
      <c r="FG5" t="s">
        <v>24</v>
      </c>
      <c r="FH5" t="s">
        <v>31</v>
      </c>
      <c r="FI5" t="s">
        <v>26</v>
      </c>
      <c r="FJ5" t="s">
        <v>27</v>
      </c>
      <c r="FK5" t="s">
        <v>28</v>
      </c>
      <c r="FL5" t="s">
        <v>34</v>
      </c>
      <c r="FM5" t="s">
        <v>29</v>
      </c>
      <c r="FN5" t="s">
        <v>42</v>
      </c>
      <c r="FO5" t="s">
        <v>30</v>
      </c>
      <c r="FS5" t="s">
        <v>41</v>
      </c>
      <c r="FT5" t="s">
        <v>38</v>
      </c>
      <c r="FU5" t="s">
        <v>17</v>
      </c>
      <c r="FV5" t="s">
        <v>18</v>
      </c>
      <c r="FW5" t="s">
        <v>19</v>
      </c>
      <c r="FX5" t="s">
        <v>37</v>
      </c>
      <c r="FY5" t="s">
        <v>20</v>
      </c>
      <c r="FZ5" t="s">
        <v>39</v>
      </c>
      <c r="GA5" t="s">
        <v>40</v>
      </c>
      <c r="GB5" t="s">
        <v>21</v>
      </c>
      <c r="GC5" t="s">
        <v>22</v>
      </c>
      <c r="GD5" t="s">
        <v>23</v>
      </c>
      <c r="GE5" t="s">
        <v>35</v>
      </c>
      <c r="GF5" t="s">
        <v>33</v>
      </c>
      <c r="GG5" t="s">
        <v>25</v>
      </c>
      <c r="GH5" t="s">
        <v>24</v>
      </c>
      <c r="GI5" t="s">
        <v>31</v>
      </c>
      <c r="GJ5" t="s">
        <v>26</v>
      </c>
      <c r="GK5" t="s">
        <v>43</v>
      </c>
      <c r="GL5" t="s">
        <v>27</v>
      </c>
      <c r="GM5" t="s">
        <v>28</v>
      </c>
      <c r="GN5" t="s">
        <v>34</v>
      </c>
      <c r="GO5" t="s">
        <v>29</v>
      </c>
      <c r="GP5" t="s">
        <v>30</v>
      </c>
      <c r="GT5" t="s">
        <v>41</v>
      </c>
      <c r="GU5" t="s">
        <v>38</v>
      </c>
      <c r="GV5" t="s">
        <v>17</v>
      </c>
      <c r="GW5" t="s">
        <v>18</v>
      </c>
      <c r="GX5" t="s">
        <v>19</v>
      </c>
      <c r="GY5" t="s">
        <v>20</v>
      </c>
      <c r="GZ5" t="s">
        <v>21</v>
      </c>
      <c r="HA5" t="s">
        <v>22</v>
      </c>
      <c r="HB5" t="s">
        <v>23</v>
      </c>
      <c r="HC5" t="s">
        <v>35</v>
      </c>
      <c r="HD5" t="s">
        <v>33</v>
      </c>
      <c r="HE5" t="s">
        <v>25</v>
      </c>
      <c r="HF5" t="s">
        <v>24</v>
      </c>
      <c r="HG5" t="s">
        <v>31</v>
      </c>
      <c r="HH5" t="s">
        <v>26</v>
      </c>
      <c r="HI5" t="s">
        <v>27</v>
      </c>
      <c r="HJ5" t="s">
        <v>28</v>
      </c>
      <c r="HK5" t="s">
        <v>34</v>
      </c>
      <c r="HL5" t="s">
        <v>29</v>
      </c>
      <c r="HM5" t="s">
        <v>30</v>
      </c>
      <c r="HQ5" t="s">
        <v>41</v>
      </c>
      <c r="HR5" t="s">
        <v>38</v>
      </c>
      <c r="HS5" t="s">
        <v>17</v>
      </c>
      <c r="HT5" t="s">
        <v>18</v>
      </c>
      <c r="HU5" t="s">
        <v>19</v>
      </c>
      <c r="HV5" t="s">
        <v>20</v>
      </c>
      <c r="HW5" t="s">
        <v>21</v>
      </c>
      <c r="HX5" t="s">
        <v>22</v>
      </c>
      <c r="HY5" t="s">
        <v>23</v>
      </c>
      <c r="HZ5" t="s">
        <v>35</v>
      </c>
      <c r="IA5" t="s">
        <v>33</v>
      </c>
      <c r="IB5" t="s">
        <v>25</v>
      </c>
      <c r="IC5" t="s">
        <v>24</v>
      </c>
      <c r="ID5" t="s">
        <v>31</v>
      </c>
      <c r="IE5" t="s">
        <v>26</v>
      </c>
      <c r="IF5" t="s">
        <v>27</v>
      </c>
      <c r="IG5" t="s">
        <v>28</v>
      </c>
      <c r="IH5" t="s">
        <v>34</v>
      </c>
      <c r="II5" t="s">
        <v>29</v>
      </c>
      <c r="IJ5" t="s">
        <v>30</v>
      </c>
    </row>
    <row r="6" spans="1:244" ht="14.25" x14ac:dyDescent="0.45">
      <c r="A6" s="6" t="s">
        <v>32</v>
      </c>
      <c r="B6" t="s">
        <v>16</v>
      </c>
      <c r="Q6">
        <f t="shared" ref="Q6:Q19" si="0">SUM(C6:P6)</f>
        <v>0</v>
      </c>
      <c r="S6" t="s">
        <v>32</v>
      </c>
      <c r="T6" t="s">
        <v>17</v>
      </c>
      <c r="AI6">
        <f>SUM(U6:AH6)</f>
        <v>0</v>
      </c>
      <c r="AL6" t="s">
        <v>17</v>
      </c>
      <c r="BC6">
        <f>SUM(AM6:BB6)</f>
        <v>0</v>
      </c>
      <c r="BF6" t="s">
        <v>32</v>
      </c>
      <c r="BG6" t="s">
        <v>17</v>
      </c>
      <c r="BW6">
        <f>SUM(BH6:BV6)</f>
        <v>0</v>
      </c>
      <c r="BY6" t="s">
        <v>32</v>
      </c>
      <c r="BZ6" t="s">
        <v>17</v>
      </c>
      <c r="CQ6">
        <f>SUM(CA6:CP6)</f>
        <v>0</v>
      </c>
      <c r="CS6" t="s">
        <v>32</v>
      </c>
      <c r="CT6" t="s">
        <v>38</v>
      </c>
      <c r="DP6" t="s">
        <v>32</v>
      </c>
      <c r="DQ6" t="s">
        <v>38</v>
      </c>
      <c r="EN6">
        <f>SUM(DR6:EM6)</f>
        <v>0</v>
      </c>
      <c r="EP6" t="s">
        <v>32</v>
      </c>
      <c r="EQ6" t="s">
        <v>41</v>
      </c>
      <c r="FO6">
        <f>SUM(ER6:FN6)</f>
        <v>0</v>
      </c>
      <c r="FR6" t="s">
        <v>41</v>
      </c>
      <c r="GP6">
        <f>SUM(FS6:GO6)</f>
        <v>0</v>
      </c>
      <c r="GR6" t="s">
        <v>32</v>
      </c>
      <c r="GS6" t="s">
        <v>41</v>
      </c>
      <c r="HM6">
        <f t="shared" ref="HM6:HM24" si="1">SUM(GT6:HL6)</f>
        <v>0</v>
      </c>
      <c r="HO6" t="s">
        <v>32</v>
      </c>
      <c r="HP6" t="s">
        <v>41</v>
      </c>
      <c r="IJ6">
        <f>SUM(HQ6:II6)</f>
        <v>0</v>
      </c>
    </row>
    <row r="7" spans="1:244" ht="14.25" x14ac:dyDescent="0.45">
      <c r="A7" s="6"/>
      <c r="B7" t="s">
        <v>17</v>
      </c>
      <c r="D7">
        <v>8</v>
      </c>
      <c r="Q7">
        <f t="shared" si="0"/>
        <v>8</v>
      </c>
      <c r="T7" t="s">
        <v>18</v>
      </c>
      <c r="AI7">
        <f t="shared" ref="AI7:AI19" si="2">SUM(U7:AH7)</f>
        <v>0</v>
      </c>
      <c r="AL7" t="s">
        <v>18</v>
      </c>
      <c r="BC7">
        <f t="shared" ref="BC7:BC21" si="3">SUM(AM7:BB7)</f>
        <v>0</v>
      </c>
      <c r="BG7" t="s">
        <v>18</v>
      </c>
      <c r="BW7">
        <f t="shared" ref="BW7:BW20" si="4">SUM(BH7:BV7)</f>
        <v>0</v>
      </c>
      <c r="BZ7" t="s">
        <v>18</v>
      </c>
      <c r="CQ7">
        <f t="shared" ref="CQ7:CQ21" si="5">SUM(CA7:CP7)</f>
        <v>0</v>
      </c>
      <c r="CT7" t="s">
        <v>17</v>
      </c>
      <c r="DN7">
        <f>SUM(CU7:DM7)</f>
        <v>0</v>
      </c>
      <c r="DQ7" t="s">
        <v>17</v>
      </c>
      <c r="EN7">
        <f t="shared" ref="EN7:EN27" si="6">SUM(DR7:EM7)</f>
        <v>0</v>
      </c>
      <c r="EQ7" t="s">
        <v>38</v>
      </c>
      <c r="FO7">
        <f t="shared" ref="FO7:FO28" si="7">SUM(ER7:FN7)</f>
        <v>0</v>
      </c>
      <c r="FR7" t="s">
        <v>38</v>
      </c>
      <c r="GP7">
        <f t="shared" ref="GP7:GP28" si="8">SUM(FS7:GO7)</f>
        <v>0</v>
      </c>
      <c r="GS7" t="s">
        <v>38</v>
      </c>
      <c r="HM7">
        <f t="shared" si="1"/>
        <v>0</v>
      </c>
      <c r="HP7" t="s">
        <v>38</v>
      </c>
      <c r="IJ7">
        <f t="shared" ref="IJ7:IJ24" si="9">SUM(HQ7:II7)</f>
        <v>0</v>
      </c>
    </row>
    <row r="8" spans="1:244" ht="14.25" x14ac:dyDescent="0.45">
      <c r="B8" t="s">
        <v>18</v>
      </c>
      <c r="Q8">
        <f t="shared" si="0"/>
        <v>0</v>
      </c>
      <c r="T8" t="s">
        <v>19</v>
      </c>
      <c r="AI8">
        <f t="shared" si="2"/>
        <v>0</v>
      </c>
      <c r="AL8" t="s">
        <v>19</v>
      </c>
      <c r="BC8">
        <f t="shared" si="3"/>
        <v>0</v>
      </c>
      <c r="BG8" t="s">
        <v>19</v>
      </c>
      <c r="BW8">
        <f t="shared" si="4"/>
        <v>0</v>
      </c>
      <c r="BZ8" t="s">
        <v>19</v>
      </c>
      <c r="CQ8">
        <f t="shared" si="5"/>
        <v>0</v>
      </c>
      <c r="CT8" t="s">
        <v>18</v>
      </c>
      <c r="DN8">
        <f t="shared" ref="DN8:DN24" si="10">SUM(CU8:DM8)</f>
        <v>0</v>
      </c>
      <c r="DQ8" t="s">
        <v>18</v>
      </c>
      <c r="EN8">
        <f t="shared" si="6"/>
        <v>0</v>
      </c>
      <c r="EQ8" t="s">
        <v>17</v>
      </c>
      <c r="FO8">
        <f t="shared" si="7"/>
        <v>0</v>
      </c>
      <c r="FR8" t="s">
        <v>17</v>
      </c>
      <c r="GP8">
        <f t="shared" si="8"/>
        <v>0</v>
      </c>
      <c r="GS8" t="s">
        <v>17</v>
      </c>
      <c r="HM8">
        <f t="shared" si="1"/>
        <v>0</v>
      </c>
      <c r="HP8" t="s">
        <v>17</v>
      </c>
      <c r="IJ8">
        <f t="shared" si="9"/>
        <v>0</v>
      </c>
    </row>
    <row r="9" spans="1:244" ht="14.25" x14ac:dyDescent="0.45">
      <c r="B9" t="s">
        <v>19</v>
      </c>
      <c r="Q9">
        <f t="shared" si="0"/>
        <v>0</v>
      </c>
      <c r="T9" t="s">
        <v>20</v>
      </c>
      <c r="AI9">
        <f t="shared" si="2"/>
        <v>0</v>
      </c>
      <c r="AL9" t="s">
        <v>20</v>
      </c>
      <c r="BC9">
        <f t="shared" si="3"/>
        <v>0</v>
      </c>
      <c r="BG9" t="s">
        <v>20</v>
      </c>
      <c r="BW9">
        <f t="shared" si="4"/>
        <v>0</v>
      </c>
      <c r="BZ9" t="s">
        <v>37</v>
      </c>
      <c r="CQ9">
        <f t="shared" si="5"/>
        <v>0</v>
      </c>
      <c r="CT9" t="s">
        <v>19</v>
      </c>
      <c r="DN9">
        <f t="shared" si="10"/>
        <v>0</v>
      </c>
      <c r="DQ9" t="s">
        <v>19</v>
      </c>
      <c r="EN9">
        <f t="shared" si="6"/>
        <v>0</v>
      </c>
      <c r="EQ9" t="s">
        <v>18</v>
      </c>
      <c r="FO9">
        <f t="shared" si="7"/>
        <v>0</v>
      </c>
      <c r="FR9" t="s">
        <v>18</v>
      </c>
      <c r="GP9">
        <f t="shared" si="8"/>
        <v>0</v>
      </c>
      <c r="GS9" t="s">
        <v>18</v>
      </c>
      <c r="HM9">
        <f t="shared" si="1"/>
        <v>0</v>
      </c>
      <c r="HP9" t="s">
        <v>18</v>
      </c>
      <c r="IJ9">
        <f t="shared" si="9"/>
        <v>0</v>
      </c>
    </row>
    <row r="10" spans="1:244" ht="14.25" x14ac:dyDescent="0.45">
      <c r="B10" t="s">
        <v>20</v>
      </c>
      <c r="Q10">
        <f t="shared" si="0"/>
        <v>0</v>
      </c>
      <c r="T10" t="s">
        <v>21</v>
      </c>
      <c r="AI10">
        <f t="shared" si="2"/>
        <v>0</v>
      </c>
      <c r="AL10" t="s">
        <v>21</v>
      </c>
      <c r="BC10">
        <f t="shared" si="3"/>
        <v>0</v>
      </c>
      <c r="BG10" t="s">
        <v>21</v>
      </c>
      <c r="BW10">
        <f t="shared" si="4"/>
        <v>0</v>
      </c>
      <c r="BZ10" t="s">
        <v>20</v>
      </c>
      <c r="CQ10">
        <f t="shared" si="5"/>
        <v>0</v>
      </c>
      <c r="CT10" t="s">
        <v>37</v>
      </c>
      <c r="DN10">
        <f t="shared" si="10"/>
        <v>0</v>
      </c>
      <c r="DQ10" t="s">
        <v>37</v>
      </c>
      <c r="EN10">
        <f t="shared" si="6"/>
        <v>0</v>
      </c>
      <c r="EQ10" t="s">
        <v>19</v>
      </c>
      <c r="FO10">
        <f t="shared" si="7"/>
        <v>0</v>
      </c>
      <c r="FR10" t="s">
        <v>19</v>
      </c>
      <c r="GP10">
        <f t="shared" si="8"/>
        <v>0</v>
      </c>
      <c r="GS10" t="s">
        <v>19</v>
      </c>
      <c r="HM10">
        <f t="shared" si="1"/>
        <v>0</v>
      </c>
      <c r="HP10" t="s">
        <v>19</v>
      </c>
      <c r="IJ10">
        <f t="shared" si="9"/>
        <v>0</v>
      </c>
    </row>
    <row r="11" spans="1:244" ht="14.25" x14ac:dyDescent="0.45">
      <c r="B11" t="s">
        <v>21</v>
      </c>
      <c r="Q11">
        <f t="shared" si="0"/>
        <v>0</v>
      </c>
      <c r="T11" t="s">
        <v>22</v>
      </c>
      <c r="AI11">
        <f t="shared" si="2"/>
        <v>0</v>
      </c>
      <c r="AL11" t="s">
        <v>22</v>
      </c>
      <c r="BC11">
        <f t="shared" si="3"/>
        <v>0</v>
      </c>
      <c r="BG11" t="s">
        <v>22</v>
      </c>
      <c r="BW11">
        <f t="shared" si="4"/>
        <v>0</v>
      </c>
      <c r="BZ11" t="s">
        <v>21</v>
      </c>
      <c r="CQ11">
        <f t="shared" si="5"/>
        <v>0</v>
      </c>
      <c r="CT11" t="s">
        <v>20</v>
      </c>
      <c r="DN11">
        <f t="shared" si="10"/>
        <v>0</v>
      </c>
      <c r="DQ11" t="s">
        <v>20</v>
      </c>
      <c r="EN11">
        <f t="shared" si="6"/>
        <v>0</v>
      </c>
      <c r="EQ11" t="s">
        <v>37</v>
      </c>
      <c r="FO11">
        <f t="shared" si="7"/>
        <v>0</v>
      </c>
      <c r="FR11" t="s">
        <v>37</v>
      </c>
      <c r="GP11">
        <f t="shared" si="8"/>
        <v>0</v>
      </c>
      <c r="GS11" t="s">
        <v>20</v>
      </c>
      <c r="HM11">
        <f t="shared" si="1"/>
        <v>0</v>
      </c>
      <c r="HP11" t="s">
        <v>20</v>
      </c>
      <c r="IJ11">
        <f t="shared" si="9"/>
        <v>0</v>
      </c>
    </row>
    <row r="12" spans="1:244" ht="14.25" x14ac:dyDescent="0.45">
      <c r="B12" t="s">
        <v>22</v>
      </c>
      <c r="Q12">
        <f t="shared" si="0"/>
        <v>0</v>
      </c>
      <c r="T12" t="s">
        <v>23</v>
      </c>
      <c r="AI12">
        <f t="shared" si="2"/>
        <v>0</v>
      </c>
      <c r="AL12" t="s">
        <v>23</v>
      </c>
      <c r="BC12">
        <f t="shared" si="3"/>
        <v>0</v>
      </c>
      <c r="BG12" t="s">
        <v>23</v>
      </c>
      <c r="BW12">
        <f t="shared" si="4"/>
        <v>0</v>
      </c>
      <c r="BZ12" t="s">
        <v>22</v>
      </c>
      <c r="CQ12">
        <f t="shared" si="5"/>
        <v>0</v>
      </c>
      <c r="CT12" t="s">
        <v>21</v>
      </c>
      <c r="DN12">
        <f t="shared" si="10"/>
        <v>0</v>
      </c>
      <c r="DQ12" t="s">
        <v>39</v>
      </c>
      <c r="EN12">
        <f t="shared" si="6"/>
        <v>0</v>
      </c>
      <c r="EQ12" t="s">
        <v>20</v>
      </c>
      <c r="FO12">
        <f t="shared" si="7"/>
        <v>0</v>
      </c>
      <c r="FR12" t="s">
        <v>20</v>
      </c>
      <c r="GP12">
        <f t="shared" si="8"/>
        <v>0</v>
      </c>
      <c r="GS12" t="s">
        <v>21</v>
      </c>
      <c r="HM12">
        <f t="shared" si="1"/>
        <v>0</v>
      </c>
      <c r="HP12" t="s">
        <v>21</v>
      </c>
      <c r="IJ12">
        <f t="shared" si="9"/>
        <v>0</v>
      </c>
    </row>
    <row r="13" spans="1:244" ht="14.25" x14ac:dyDescent="0.45">
      <c r="B13" t="s">
        <v>23</v>
      </c>
      <c r="Q13">
        <f t="shared" si="0"/>
        <v>0</v>
      </c>
      <c r="T13" t="s">
        <v>25</v>
      </c>
      <c r="AI13">
        <f t="shared" si="2"/>
        <v>0</v>
      </c>
      <c r="AL13" t="s">
        <v>33</v>
      </c>
      <c r="BC13">
        <f t="shared" si="3"/>
        <v>0</v>
      </c>
      <c r="BG13" t="s">
        <v>35</v>
      </c>
      <c r="BW13">
        <f t="shared" si="4"/>
        <v>0</v>
      </c>
      <c r="BZ13" t="s">
        <v>23</v>
      </c>
      <c r="CQ13">
        <f t="shared" si="5"/>
        <v>0</v>
      </c>
      <c r="CT13" t="s">
        <v>22</v>
      </c>
      <c r="DN13">
        <f t="shared" si="10"/>
        <v>0</v>
      </c>
      <c r="DQ13" t="s">
        <v>40</v>
      </c>
      <c r="EN13">
        <f t="shared" si="6"/>
        <v>0</v>
      </c>
      <c r="EQ13" t="s">
        <v>39</v>
      </c>
      <c r="FO13">
        <f t="shared" si="7"/>
        <v>0</v>
      </c>
      <c r="FR13" t="s">
        <v>39</v>
      </c>
      <c r="GP13">
        <f t="shared" si="8"/>
        <v>0</v>
      </c>
      <c r="GS13" t="s">
        <v>22</v>
      </c>
      <c r="HM13">
        <f t="shared" si="1"/>
        <v>0</v>
      </c>
      <c r="HP13" t="s">
        <v>22</v>
      </c>
      <c r="IJ13">
        <f t="shared" si="9"/>
        <v>0</v>
      </c>
    </row>
    <row r="14" spans="1:244" ht="14.25" x14ac:dyDescent="0.45">
      <c r="B14" t="s">
        <v>24</v>
      </c>
      <c r="Q14">
        <f t="shared" si="0"/>
        <v>0</v>
      </c>
      <c r="T14" t="s">
        <v>24</v>
      </c>
      <c r="AI14">
        <f t="shared" si="2"/>
        <v>0</v>
      </c>
      <c r="AL14" t="s">
        <v>25</v>
      </c>
      <c r="BC14">
        <f t="shared" si="3"/>
        <v>0</v>
      </c>
      <c r="BG14" t="s">
        <v>25</v>
      </c>
      <c r="BW14">
        <f t="shared" si="4"/>
        <v>0</v>
      </c>
      <c r="BZ14" t="s">
        <v>35</v>
      </c>
      <c r="CQ14">
        <f t="shared" si="5"/>
        <v>0</v>
      </c>
      <c r="CT14" t="s">
        <v>23</v>
      </c>
      <c r="DN14">
        <f t="shared" si="10"/>
        <v>0</v>
      </c>
      <c r="DQ14" t="s">
        <v>21</v>
      </c>
      <c r="EN14">
        <f t="shared" si="6"/>
        <v>0</v>
      </c>
      <c r="EQ14" t="s">
        <v>40</v>
      </c>
      <c r="FO14">
        <f t="shared" si="7"/>
        <v>0</v>
      </c>
      <c r="FR14" t="s">
        <v>40</v>
      </c>
      <c r="GP14">
        <f t="shared" si="8"/>
        <v>0</v>
      </c>
      <c r="GS14" t="s">
        <v>23</v>
      </c>
      <c r="HM14">
        <f t="shared" si="1"/>
        <v>0</v>
      </c>
      <c r="HP14" t="s">
        <v>23</v>
      </c>
      <c r="IJ14">
        <f t="shared" si="9"/>
        <v>0</v>
      </c>
    </row>
    <row r="15" spans="1:244" ht="14.25" x14ac:dyDescent="0.45">
      <c r="B15" t="s">
        <v>25</v>
      </c>
      <c r="Q15">
        <f t="shared" si="0"/>
        <v>0</v>
      </c>
      <c r="T15" t="s">
        <v>31</v>
      </c>
      <c r="AI15">
        <f t="shared" si="2"/>
        <v>0</v>
      </c>
      <c r="AL15" t="s">
        <v>24</v>
      </c>
      <c r="BC15">
        <f t="shared" si="3"/>
        <v>0</v>
      </c>
      <c r="BG15" t="s">
        <v>24</v>
      </c>
      <c r="BW15">
        <f t="shared" si="4"/>
        <v>0</v>
      </c>
      <c r="BZ15" t="s">
        <v>25</v>
      </c>
      <c r="CQ15">
        <f t="shared" si="5"/>
        <v>0</v>
      </c>
      <c r="CT15" t="s">
        <v>35</v>
      </c>
      <c r="DN15">
        <f t="shared" si="10"/>
        <v>0</v>
      </c>
      <c r="DQ15" t="s">
        <v>22</v>
      </c>
      <c r="EN15">
        <f t="shared" si="6"/>
        <v>0</v>
      </c>
      <c r="EQ15" t="s">
        <v>21</v>
      </c>
      <c r="FO15">
        <f t="shared" si="7"/>
        <v>0</v>
      </c>
      <c r="FR15" t="s">
        <v>21</v>
      </c>
      <c r="GP15">
        <f t="shared" si="8"/>
        <v>0</v>
      </c>
      <c r="GS15" t="s">
        <v>35</v>
      </c>
      <c r="HM15">
        <f t="shared" si="1"/>
        <v>0</v>
      </c>
      <c r="HP15" t="s">
        <v>35</v>
      </c>
      <c r="IJ15">
        <f t="shared" si="9"/>
        <v>0</v>
      </c>
    </row>
    <row r="16" spans="1:244" ht="14.25" x14ac:dyDescent="0.45">
      <c r="B16" t="s">
        <v>26</v>
      </c>
      <c r="Q16">
        <f t="shared" si="0"/>
        <v>0</v>
      </c>
      <c r="T16" t="s">
        <v>26</v>
      </c>
      <c r="AI16">
        <f t="shared" si="2"/>
        <v>0</v>
      </c>
      <c r="AL16" t="s">
        <v>31</v>
      </c>
      <c r="BC16">
        <f t="shared" si="3"/>
        <v>0</v>
      </c>
      <c r="BG16" t="s">
        <v>31</v>
      </c>
      <c r="BW16">
        <f t="shared" si="4"/>
        <v>0</v>
      </c>
      <c r="BZ16" t="s">
        <v>24</v>
      </c>
      <c r="CQ16">
        <f t="shared" si="5"/>
        <v>0</v>
      </c>
      <c r="CT16" t="s">
        <v>33</v>
      </c>
      <c r="DN16">
        <f t="shared" si="10"/>
        <v>0</v>
      </c>
      <c r="DQ16" t="s">
        <v>23</v>
      </c>
      <c r="EN16">
        <f t="shared" si="6"/>
        <v>0</v>
      </c>
      <c r="EQ16" t="s">
        <v>22</v>
      </c>
      <c r="FO16">
        <f t="shared" si="7"/>
        <v>0</v>
      </c>
      <c r="FR16" t="s">
        <v>22</v>
      </c>
      <c r="GP16">
        <f t="shared" si="8"/>
        <v>0</v>
      </c>
      <c r="GS16" t="s">
        <v>33</v>
      </c>
      <c r="HM16">
        <f t="shared" si="1"/>
        <v>0</v>
      </c>
      <c r="HP16" t="s">
        <v>33</v>
      </c>
      <c r="IJ16">
        <f t="shared" si="9"/>
        <v>0</v>
      </c>
    </row>
    <row r="17" spans="2:244" ht="14.25" x14ac:dyDescent="0.45">
      <c r="B17" t="s">
        <v>27</v>
      </c>
      <c r="Q17">
        <f t="shared" si="0"/>
        <v>0</v>
      </c>
      <c r="T17" t="s">
        <v>27</v>
      </c>
      <c r="AI17">
        <f t="shared" si="2"/>
        <v>0</v>
      </c>
      <c r="AL17" t="s">
        <v>26</v>
      </c>
      <c r="BC17">
        <f t="shared" si="3"/>
        <v>0</v>
      </c>
      <c r="BG17" t="s">
        <v>26</v>
      </c>
      <c r="BW17">
        <f t="shared" si="4"/>
        <v>0</v>
      </c>
      <c r="BZ17" t="s">
        <v>31</v>
      </c>
      <c r="CQ17">
        <f t="shared" si="5"/>
        <v>0</v>
      </c>
      <c r="CT17" t="s">
        <v>25</v>
      </c>
      <c r="DN17">
        <f t="shared" si="10"/>
        <v>0</v>
      </c>
      <c r="DQ17" t="s">
        <v>35</v>
      </c>
      <c r="EN17">
        <f t="shared" si="6"/>
        <v>0</v>
      </c>
      <c r="EQ17" t="s">
        <v>23</v>
      </c>
      <c r="FO17">
        <f t="shared" si="7"/>
        <v>0</v>
      </c>
      <c r="FR17" t="s">
        <v>23</v>
      </c>
      <c r="GP17">
        <f t="shared" si="8"/>
        <v>0</v>
      </c>
      <c r="GS17" t="s">
        <v>25</v>
      </c>
      <c r="HM17">
        <f t="shared" si="1"/>
        <v>0</v>
      </c>
      <c r="HP17" t="s">
        <v>25</v>
      </c>
      <c r="IJ17">
        <f t="shared" si="9"/>
        <v>0</v>
      </c>
    </row>
    <row r="18" spans="2:244" ht="14.25" x14ac:dyDescent="0.45">
      <c r="B18" t="s">
        <v>28</v>
      </c>
      <c r="Q18">
        <f t="shared" si="0"/>
        <v>0</v>
      </c>
      <c r="T18" t="s">
        <v>28</v>
      </c>
      <c r="AI18">
        <f t="shared" si="2"/>
        <v>0</v>
      </c>
      <c r="AL18" t="s">
        <v>27</v>
      </c>
      <c r="BC18">
        <f t="shared" si="3"/>
        <v>0</v>
      </c>
      <c r="BG18" t="s">
        <v>27</v>
      </c>
      <c r="BW18">
        <f t="shared" si="4"/>
        <v>0</v>
      </c>
      <c r="BZ18" t="s">
        <v>26</v>
      </c>
      <c r="CQ18">
        <f t="shared" si="5"/>
        <v>0</v>
      </c>
      <c r="CT18" t="s">
        <v>24</v>
      </c>
      <c r="DN18">
        <f t="shared" si="10"/>
        <v>0</v>
      </c>
      <c r="DQ18" t="s">
        <v>33</v>
      </c>
      <c r="EN18">
        <f t="shared" si="6"/>
        <v>0</v>
      </c>
      <c r="EQ18" t="s">
        <v>35</v>
      </c>
      <c r="FO18">
        <f t="shared" si="7"/>
        <v>0</v>
      </c>
      <c r="FR18" t="s">
        <v>35</v>
      </c>
      <c r="GP18">
        <f t="shared" si="8"/>
        <v>0</v>
      </c>
      <c r="GS18" t="s">
        <v>24</v>
      </c>
      <c r="HM18">
        <f t="shared" si="1"/>
        <v>0</v>
      </c>
      <c r="HP18" t="s">
        <v>24</v>
      </c>
      <c r="IJ18">
        <f t="shared" si="9"/>
        <v>0</v>
      </c>
    </row>
    <row r="19" spans="2:244" ht="14.25" x14ac:dyDescent="0.45">
      <c r="B19" t="s">
        <v>29</v>
      </c>
      <c r="Q19">
        <f t="shared" si="0"/>
        <v>0</v>
      </c>
      <c r="T19" t="s">
        <v>29</v>
      </c>
      <c r="AI19">
        <f t="shared" si="2"/>
        <v>0</v>
      </c>
      <c r="AL19" t="s">
        <v>28</v>
      </c>
      <c r="BC19">
        <f t="shared" si="3"/>
        <v>0</v>
      </c>
      <c r="BG19" t="s">
        <v>28</v>
      </c>
      <c r="BW19">
        <f t="shared" si="4"/>
        <v>0</v>
      </c>
      <c r="BZ19" t="s">
        <v>27</v>
      </c>
      <c r="CQ19">
        <f t="shared" si="5"/>
        <v>0</v>
      </c>
      <c r="CT19" t="s">
        <v>31</v>
      </c>
      <c r="DN19">
        <f t="shared" si="10"/>
        <v>0</v>
      </c>
      <c r="DQ19" t="s">
        <v>25</v>
      </c>
      <c r="EN19">
        <f t="shared" si="6"/>
        <v>0</v>
      </c>
      <c r="EQ19" t="s">
        <v>33</v>
      </c>
      <c r="FO19">
        <f t="shared" si="7"/>
        <v>0</v>
      </c>
      <c r="FR19" t="s">
        <v>33</v>
      </c>
      <c r="GP19">
        <f t="shared" si="8"/>
        <v>0</v>
      </c>
      <c r="GS19" t="s">
        <v>31</v>
      </c>
      <c r="HM19">
        <f t="shared" si="1"/>
        <v>0</v>
      </c>
      <c r="HP19" t="s">
        <v>31</v>
      </c>
      <c r="IJ19">
        <f t="shared" si="9"/>
        <v>0</v>
      </c>
    </row>
    <row r="20" spans="2:244" ht="14.25" x14ac:dyDescent="0.45">
      <c r="AL20" t="s">
        <v>34</v>
      </c>
      <c r="BC20">
        <f t="shared" si="3"/>
        <v>0</v>
      </c>
      <c r="BG20" t="s">
        <v>29</v>
      </c>
      <c r="BW20">
        <f t="shared" si="4"/>
        <v>0</v>
      </c>
      <c r="BZ20" t="s">
        <v>28</v>
      </c>
      <c r="CQ20">
        <f t="shared" si="5"/>
        <v>0</v>
      </c>
      <c r="CT20" t="s">
        <v>26</v>
      </c>
      <c r="DN20">
        <f t="shared" si="10"/>
        <v>0</v>
      </c>
      <c r="DQ20" t="s">
        <v>24</v>
      </c>
      <c r="EN20">
        <f t="shared" si="6"/>
        <v>0</v>
      </c>
      <c r="EQ20" t="s">
        <v>25</v>
      </c>
      <c r="FO20">
        <f t="shared" si="7"/>
        <v>0</v>
      </c>
      <c r="FR20" t="s">
        <v>25</v>
      </c>
      <c r="GP20">
        <f t="shared" si="8"/>
        <v>0</v>
      </c>
      <c r="GS20" t="s">
        <v>26</v>
      </c>
      <c r="HM20">
        <f t="shared" si="1"/>
        <v>0</v>
      </c>
      <c r="HP20" t="s">
        <v>26</v>
      </c>
      <c r="IJ20">
        <f t="shared" si="9"/>
        <v>0</v>
      </c>
    </row>
    <row r="21" spans="2:244" ht="14.25" x14ac:dyDescent="0.45">
      <c r="AL21" t="s">
        <v>29</v>
      </c>
      <c r="BC21">
        <f t="shared" si="3"/>
        <v>0</v>
      </c>
      <c r="BZ21" t="s">
        <v>29</v>
      </c>
      <c r="CQ21">
        <f t="shared" si="5"/>
        <v>0</v>
      </c>
      <c r="CT21" t="s">
        <v>27</v>
      </c>
      <c r="DN21">
        <f t="shared" si="10"/>
        <v>0</v>
      </c>
      <c r="DQ21" t="s">
        <v>31</v>
      </c>
      <c r="EN21">
        <f t="shared" si="6"/>
        <v>0</v>
      </c>
      <c r="EQ21" t="s">
        <v>24</v>
      </c>
      <c r="FO21">
        <f t="shared" si="7"/>
        <v>0</v>
      </c>
      <c r="FR21" t="s">
        <v>24</v>
      </c>
      <c r="GP21">
        <f t="shared" si="8"/>
        <v>0</v>
      </c>
      <c r="GS21" t="s">
        <v>27</v>
      </c>
      <c r="HM21">
        <f t="shared" si="1"/>
        <v>0</v>
      </c>
      <c r="HP21" t="s">
        <v>27</v>
      </c>
      <c r="IJ21">
        <f t="shared" si="9"/>
        <v>0</v>
      </c>
    </row>
    <row r="22" spans="2:244" ht="14.25" x14ac:dyDescent="0.45">
      <c r="CT22" t="s">
        <v>28</v>
      </c>
      <c r="DN22">
        <f t="shared" si="10"/>
        <v>0</v>
      </c>
      <c r="DQ22" t="s">
        <v>26</v>
      </c>
      <c r="EN22">
        <f t="shared" si="6"/>
        <v>0</v>
      </c>
      <c r="EQ22" t="s">
        <v>31</v>
      </c>
      <c r="FO22">
        <f t="shared" si="7"/>
        <v>0</v>
      </c>
      <c r="FR22" t="s">
        <v>31</v>
      </c>
      <c r="GP22">
        <f t="shared" si="8"/>
        <v>0</v>
      </c>
      <c r="GS22" t="s">
        <v>28</v>
      </c>
      <c r="HM22">
        <f t="shared" si="1"/>
        <v>0</v>
      </c>
      <c r="HP22" t="s">
        <v>28</v>
      </c>
      <c r="IJ22">
        <f t="shared" si="9"/>
        <v>0</v>
      </c>
    </row>
    <row r="23" spans="2:244" ht="14.25" x14ac:dyDescent="0.45">
      <c r="CT23" t="s">
        <v>34</v>
      </c>
      <c r="DN23">
        <f t="shared" si="10"/>
        <v>0</v>
      </c>
      <c r="DQ23" t="s">
        <v>27</v>
      </c>
      <c r="EN23">
        <f t="shared" si="6"/>
        <v>0</v>
      </c>
      <c r="EQ23" t="s">
        <v>26</v>
      </c>
      <c r="FO23">
        <f t="shared" si="7"/>
        <v>0</v>
      </c>
      <c r="FR23" t="s">
        <v>26</v>
      </c>
      <c r="GP23">
        <f t="shared" si="8"/>
        <v>0</v>
      </c>
      <c r="GS23" t="s">
        <v>34</v>
      </c>
      <c r="HM23">
        <f t="shared" si="1"/>
        <v>0</v>
      </c>
      <c r="HP23" t="s">
        <v>34</v>
      </c>
      <c r="IJ23">
        <f t="shared" si="9"/>
        <v>0</v>
      </c>
    </row>
    <row r="24" spans="2:244" ht="14.25" x14ac:dyDescent="0.45">
      <c r="CT24" t="s">
        <v>29</v>
      </c>
      <c r="DN24">
        <f t="shared" si="10"/>
        <v>0</v>
      </c>
      <c r="DQ24" t="s">
        <v>28</v>
      </c>
      <c r="EN24">
        <f t="shared" si="6"/>
        <v>0</v>
      </c>
      <c r="EQ24" t="s">
        <v>27</v>
      </c>
      <c r="FO24">
        <f t="shared" si="7"/>
        <v>0</v>
      </c>
      <c r="FR24" t="s">
        <v>43</v>
      </c>
      <c r="GP24">
        <f t="shared" si="8"/>
        <v>0</v>
      </c>
      <c r="GS24" t="s">
        <v>29</v>
      </c>
      <c r="HM24">
        <f t="shared" si="1"/>
        <v>0</v>
      </c>
      <c r="HP24" t="s">
        <v>29</v>
      </c>
      <c r="IJ24">
        <f t="shared" si="9"/>
        <v>0</v>
      </c>
    </row>
    <row r="25" spans="2:244" ht="14.25" x14ac:dyDescent="0.45">
      <c r="DQ25" t="s">
        <v>34</v>
      </c>
      <c r="EN25">
        <f t="shared" si="6"/>
        <v>0</v>
      </c>
      <c r="EQ25" t="s">
        <v>28</v>
      </c>
      <c r="FO25">
        <f t="shared" si="7"/>
        <v>0</v>
      </c>
      <c r="FR25" t="s">
        <v>27</v>
      </c>
      <c r="GP25">
        <f t="shared" si="8"/>
        <v>0</v>
      </c>
    </row>
    <row r="26" spans="2:244" ht="14.25" x14ac:dyDescent="0.45">
      <c r="DQ26" t="s">
        <v>29</v>
      </c>
      <c r="EN26">
        <f t="shared" si="6"/>
        <v>0</v>
      </c>
      <c r="EQ26" t="s">
        <v>34</v>
      </c>
      <c r="FO26">
        <f t="shared" si="7"/>
        <v>0</v>
      </c>
      <c r="FR26" t="s">
        <v>28</v>
      </c>
      <c r="GP26">
        <f t="shared" si="8"/>
        <v>0</v>
      </c>
    </row>
    <row r="27" spans="2:244" ht="15" customHeight="1" x14ac:dyDescent="0.45">
      <c r="DQ27" t="s">
        <v>41</v>
      </c>
      <c r="EN27">
        <f t="shared" si="6"/>
        <v>0</v>
      </c>
      <c r="EQ27" t="s">
        <v>29</v>
      </c>
      <c r="FO27">
        <f t="shared" si="7"/>
        <v>0</v>
      </c>
      <c r="FR27" t="s">
        <v>34</v>
      </c>
      <c r="GP27">
        <f t="shared" si="8"/>
        <v>0</v>
      </c>
    </row>
    <row r="28" spans="2:244" ht="15" customHeight="1" x14ac:dyDescent="0.45">
      <c r="EQ28" t="s">
        <v>42</v>
      </c>
      <c r="FO28">
        <f t="shared" si="7"/>
        <v>0</v>
      </c>
      <c r="FR28" t="s">
        <v>29</v>
      </c>
      <c r="GP28">
        <f t="shared" si="8"/>
        <v>0</v>
      </c>
    </row>
  </sheetData>
  <mergeCells count="11">
    <mergeCell ref="DS4:DT4"/>
    <mergeCell ref="ES4:ET4"/>
    <mergeCell ref="GU4:GV4"/>
    <mergeCell ref="HR4:HS4"/>
    <mergeCell ref="A6:A7"/>
    <mergeCell ref="E4:H4"/>
    <mergeCell ref="V4:W4"/>
    <mergeCell ref="AN4:AO4"/>
    <mergeCell ref="BJ4:BK4"/>
    <mergeCell ref="CC4:CE4"/>
    <mergeCell ref="CW4:CX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FA6FD-12B5-49A4-8B5D-FF276ED58C0A}">
  <dimension ref="A1:U7"/>
  <sheetViews>
    <sheetView workbookViewId="0">
      <selection activeCell="A12" sqref="A12"/>
    </sheetView>
  </sheetViews>
  <sheetFormatPr defaultRowHeight="14.25" x14ac:dyDescent="0.45"/>
  <cols>
    <col min="19" max="19" width="10.59765625" bestFit="1" customWidth="1"/>
    <col min="20" max="20" width="10.59765625" customWidth="1"/>
    <col min="26" max="26" width="10.59765625" bestFit="1" customWidth="1"/>
    <col min="28" max="28" width="10.59765625" bestFit="1" customWidth="1"/>
  </cols>
  <sheetData>
    <row r="1" spans="1:21" x14ac:dyDescent="0.45">
      <c r="A1" t="s">
        <v>44</v>
      </c>
    </row>
    <row r="3" spans="1:21" x14ac:dyDescent="0.45">
      <c r="A3" t="s">
        <v>1</v>
      </c>
      <c r="C3" t="s">
        <v>2</v>
      </c>
      <c r="E3" t="s">
        <v>3</v>
      </c>
      <c r="G3" t="s">
        <v>4</v>
      </c>
      <c r="I3" t="s">
        <v>5</v>
      </c>
      <c r="K3" t="s">
        <v>6</v>
      </c>
      <c r="M3" t="s">
        <v>7</v>
      </c>
      <c r="O3" t="s">
        <v>8</v>
      </c>
      <c r="Q3" t="s">
        <v>9</v>
      </c>
      <c r="S3" t="s">
        <v>10</v>
      </c>
      <c r="U3" t="s">
        <v>11</v>
      </c>
    </row>
    <row r="4" spans="1:21" x14ac:dyDescent="0.45">
      <c r="A4" t="s">
        <v>45</v>
      </c>
      <c r="C4" t="s">
        <v>46</v>
      </c>
      <c r="E4" t="s">
        <v>47</v>
      </c>
      <c r="G4" t="s">
        <v>48</v>
      </c>
      <c r="H4" t="s">
        <v>49</v>
      </c>
      <c r="I4" t="s">
        <v>50</v>
      </c>
      <c r="K4" t="s">
        <v>51</v>
      </c>
      <c r="M4" t="s">
        <v>52</v>
      </c>
      <c r="O4" t="s">
        <v>53</v>
      </c>
      <c r="Q4" t="s">
        <v>54</v>
      </c>
      <c r="S4" t="s">
        <v>55</v>
      </c>
      <c r="U4" t="s">
        <v>56</v>
      </c>
    </row>
    <row r="5" spans="1:21" x14ac:dyDescent="0.45">
      <c r="C5" t="s">
        <v>57</v>
      </c>
      <c r="E5" t="s">
        <v>58</v>
      </c>
      <c r="I5" t="s">
        <v>59</v>
      </c>
      <c r="K5" t="s">
        <v>60</v>
      </c>
      <c r="M5" t="s">
        <v>61</v>
      </c>
      <c r="O5" t="s">
        <v>62</v>
      </c>
      <c r="Q5" t="s">
        <v>63</v>
      </c>
      <c r="S5" t="s">
        <v>64</v>
      </c>
      <c r="U5" t="s">
        <v>65</v>
      </c>
    </row>
    <row r="6" spans="1:21" x14ac:dyDescent="0.45">
      <c r="I6" t="s">
        <v>66</v>
      </c>
      <c r="K6" t="s">
        <v>67</v>
      </c>
      <c r="M6" t="s">
        <v>68</v>
      </c>
      <c r="O6" t="s">
        <v>69</v>
      </c>
      <c r="Q6" t="s">
        <v>70</v>
      </c>
      <c r="S6" t="s">
        <v>71</v>
      </c>
      <c r="U6" t="s">
        <v>72</v>
      </c>
    </row>
    <row r="7" spans="1:21" x14ac:dyDescent="0.45">
      <c r="K7" t="s">
        <v>73</v>
      </c>
      <c r="O7" t="s">
        <v>74</v>
      </c>
      <c r="Q7" t="s">
        <v>75</v>
      </c>
      <c r="S7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7F80F-8175-415D-9975-EC8A7BE03140}">
  <dimension ref="A1:II28"/>
  <sheetViews>
    <sheetView topLeftCell="HK1" zoomScale="80" zoomScaleNormal="80" workbookViewId="0">
      <selection activeCell="DQ27" sqref="DQ27"/>
    </sheetView>
  </sheetViews>
  <sheetFormatPr defaultRowHeight="15" customHeight="1" x14ac:dyDescent="0.45"/>
  <cols>
    <col min="2" max="2" width="15.73046875" bestFit="1" customWidth="1"/>
    <col min="3" max="3" width="6.1328125" bestFit="1" customWidth="1"/>
    <col min="4" max="4" width="4.3984375" bestFit="1" customWidth="1"/>
    <col min="5" max="5" width="6.265625" bestFit="1" customWidth="1"/>
    <col min="6" max="6" width="5.73046875" bestFit="1" customWidth="1"/>
    <col min="7" max="7" width="6.1328125" bestFit="1" customWidth="1"/>
    <col min="8" max="8" width="4.3984375" bestFit="1" customWidth="1"/>
    <col min="9" max="9" width="3.86328125" bestFit="1" customWidth="1"/>
    <col min="10" max="10" width="6" bestFit="1" customWidth="1"/>
    <col min="11" max="11" width="11.1328125" bestFit="1" customWidth="1"/>
    <col min="12" max="12" width="7.265625" bestFit="1" customWidth="1"/>
    <col min="13" max="13" width="6.3984375" bestFit="1" customWidth="1"/>
    <col min="14" max="14" width="5.265625" bestFit="1" customWidth="1"/>
    <col min="15" max="15" width="10.59765625" bestFit="1" customWidth="1"/>
    <col min="16" max="16" width="4.73046875" bestFit="1" customWidth="1"/>
    <col min="17" max="17" width="8" customWidth="1"/>
    <col min="18" max="18" width="5.73046875" bestFit="1" customWidth="1"/>
    <col min="19" max="19" width="12.3984375" bestFit="1" customWidth="1"/>
    <col min="20" max="20" width="4" bestFit="1" customWidth="1"/>
    <col min="21" max="21" width="4.3984375" bestFit="1" customWidth="1"/>
    <col min="22" max="22" width="6.265625" bestFit="1" customWidth="1"/>
    <col min="23" max="23" width="5.73046875" bestFit="1" customWidth="1"/>
    <col min="24" max="24" width="6.1328125" bestFit="1" customWidth="1"/>
    <col min="25" max="25" width="4.3984375" bestFit="1" customWidth="1"/>
    <col min="26" max="26" width="3.86328125" bestFit="1" customWidth="1"/>
    <col min="27" max="27" width="11.1328125" bestFit="1" customWidth="1"/>
    <col min="28" max="28" width="6.1328125" bestFit="1" customWidth="1"/>
    <col min="29" max="29" width="6" bestFit="1" customWidth="1"/>
    <col min="30" max="30" width="7.265625" bestFit="1" customWidth="1"/>
    <col min="31" max="31" width="6.59765625" bestFit="1" customWidth="1"/>
    <col min="32" max="32" width="5.265625" bestFit="1" customWidth="1"/>
    <col min="33" max="33" width="10.73046875" bestFit="1" customWidth="1"/>
    <col min="34" max="34" width="4.86328125" bestFit="1" customWidth="1"/>
    <col min="35" max="35" width="4.86328125" customWidth="1"/>
    <col min="36" max="36" width="5.73046875" bestFit="1" customWidth="1"/>
    <col min="37" max="37" width="14.265625" bestFit="1" customWidth="1"/>
    <col min="38" max="38" width="4.73046875" bestFit="1" customWidth="1"/>
    <col min="39" max="39" width="5.1328125" bestFit="1" customWidth="1"/>
    <col min="40" max="40" width="7.265625" bestFit="1" customWidth="1"/>
    <col min="41" max="41" width="6.73046875" bestFit="1" customWidth="1"/>
    <col min="42" max="42" width="7.265625" bestFit="1" customWidth="1"/>
    <col min="43" max="43" width="5.265625" bestFit="1" customWidth="1"/>
    <col min="44" max="44" width="4.59765625" bestFit="1" customWidth="1"/>
    <col min="45" max="45" width="9.265625" bestFit="1" customWidth="1"/>
    <col min="46" max="46" width="12.86328125" bestFit="1" customWidth="1"/>
    <col min="47" max="47" width="7.1328125" bestFit="1" customWidth="1"/>
    <col min="48" max="48" width="6.86328125" bestFit="1" customWidth="1"/>
    <col min="49" max="49" width="8.59765625" bestFit="1" customWidth="1"/>
    <col min="50" max="50" width="7.3984375" bestFit="1" customWidth="1"/>
    <col min="51" max="51" width="6.265625" bestFit="1" customWidth="1"/>
    <col min="52" max="52" width="7.86328125" bestFit="1" customWidth="1"/>
    <col min="53" max="53" width="12" bestFit="1" customWidth="1"/>
    <col min="54" max="54" width="5.59765625" bestFit="1" customWidth="1"/>
    <col min="55" max="55" width="9.265625" customWidth="1"/>
    <col min="58" max="58" width="14.265625" bestFit="1" customWidth="1"/>
    <col min="59" max="59" width="4" bestFit="1" customWidth="1"/>
    <col min="60" max="60" width="4.3984375" bestFit="1" customWidth="1"/>
    <col min="61" max="61" width="6.265625" bestFit="1" customWidth="1"/>
    <col min="62" max="62" width="6" bestFit="1" customWidth="1"/>
    <col min="63" max="63" width="6.3984375" bestFit="1" customWidth="1"/>
    <col min="64" max="64" width="4.59765625" bestFit="1" customWidth="1"/>
    <col min="65" max="65" width="4" bestFit="1" customWidth="1"/>
    <col min="66" max="66" width="3.59765625" bestFit="1" customWidth="1"/>
    <col min="67" max="67" width="11.265625" bestFit="1" customWidth="1"/>
    <col min="68" max="68" width="6.1328125" bestFit="1" customWidth="1"/>
    <col min="69" max="69" width="6" bestFit="1" customWidth="1"/>
    <col min="70" max="70" width="7.3984375" bestFit="1" customWidth="1"/>
    <col min="71" max="71" width="6.59765625" bestFit="1" customWidth="1"/>
    <col min="72" max="72" width="5.59765625" bestFit="1" customWidth="1"/>
    <col min="73" max="73" width="10.73046875" bestFit="1" customWidth="1"/>
    <col min="74" max="75" width="10.73046875" customWidth="1"/>
    <col min="77" max="77" width="12.3984375" bestFit="1" customWidth="1"/>
    <col min="78" max="78" width="4" bestFit="1" customWidth="1"/>
    <col min="79" max="79" width="4.3984375" bestFit="1" customWidth="1"/>
    <col min="80" max="80" width="6.265625" bestFit="1" customWidth="1"/>
    <col min="81" max="81" width="3.265625" bestFit="1" customWidth="1"/>
    <col min="82" max="82" width="5.73046875" bestFit="1" customWidth="1"/>
    <col min="83" max="83" width="6.1328125" bestFit="1" customWidth="1"/>
    <col min="84" max="84" width="4.3984375" bestFit="1" customWidth="1"/>
    <col min="85" max="85" width="3.86328125" bestFit="1" customWidth="1"/>
    <col min="86" max="86" width="3.3984375" bestFit="1" customWidth="1"/>
    <col min="87" max="87" width="11.1328125" bestFit="1" customWidth="1"/>
    <col min="88" max="88" width="6" bestFit="1" customWidth="1"/>
    <col min="89" max="89" width="5.86328125" bestFit="1" customWidth="1"/>
    <col min="90" max="90" width="7.265625" bestFit="1" customWidth="1"/>
    <col min="91" max="91" width="6.3984375" bestFit="1" customWidth="1"/>
    <col min="92" max="92" width="5.265625" bestFit="1" customWidth="1"/>
    <col min="93" max="93" width="10.59765625" bestFit="1" customWidth="1"/>
    <col min="94" max="94" width="10.59765625" customWidth="1"/>
    <col min="97" max="97" width="12.3984375" bestFit="1" customWidth="1"/>
    <col min="98" max="98" width="6.59765625" bestFit="1" customWidth="1"/>
    <col min="99" max="99" width="4" bestFit="1" customWidth="1"/>
    <col min="100" max="100" width="4.3984375" bestFit="1" customWidth="1"/>
    <col min="101" max="101" width="6.265625" bestFit="1" customWidth="1"/>
    <col min="102" max="102" width="3.265625" bestFit="1" customWidth="1"/>
    <col min="103" max="103" width="5.73046875" bestFit="1" customWidth="1"/>
    <col min="104" max="104" width="6.1328125" bestFit="1" customWidth="1"/>
    <col min="105" max="105" width="4.3984375" bestFit="1" customWidth="1"/>
    <col min="106" max="106" width="3.86328125" bestFit="1" customWidth="1"/>
    <col min="107" max="107" width="3.3984375" bestFit="1" customWidth="1"/>
    <col min="108" max="108" width="8" bestFit="1" customWidth="1"/>
    <col min="109" max="109" width="11.1328125" bestFit="1" customWidth="1"/>
    <col min="110" max="110" width="6" bestFit="1" customWidth="1"/>
    <col min="111" max="111" width="5.86328125" bestFit="1" customWidth="1"/>
    <col min="112" max="112" width="7.265625" bestFit="1" customWidth="1"/>
    <col min="113" max="113" width="6.3984375" bestFit="1" customWidth="1"/>
    <col min="114" max="114" width="5.265625" bestFit="1" customWidth="1"/>
    <col min="115" max="115" width="6.86328125" bestFit="1" customWidth="1"/>
    <col min="116" max="116" width="10.59765625" bestFit="1" customWidth="1"/>
    <col min="117" max="117" width="5" bestFit="1" customWidth="1"/>
    <col min="118" max="118" width="6.3984375" customWidth="1"/>
    <col min="119" max="119" width="6" bestFit="1" customWidth="1"/>
    <col min="120" max="120" width="13" bestFit="1" customWidth="1"/>
    <col min="121" max="121" width="7.73046875" bestFit="1" customWidth="1"/>
    <col min="122" max="122" width="4.73046875" bestFit="1" customWidth="1"/>
    <col min="123" max="123" width="5.1328125" bestFit="1" customWidth="1"/>
    <col min="124" max="124" width="7.265625" bestFit="1" customWidth="1"/>
    <col min="125" max="125" width="4" bestFit="1" customWidth="1"/>
    <col min="126" max="126" width="6.73046875" bestFit="1" customWidth="1"/>
    <col min="127" max="127" width="7.265625" bestFit="1" customWidth="1"/>
    <col min="128" max="128" width="5" bestFit="1" customWidth="1"/>
    <col min="129" max="129" width="7.265625" bestFit="1" customWidth="1"/>
    <col min="130" max="130" width="5.265625" bestFit="1" customWidth="1"/>
    <col min="131" max="131" width="4.59765625" bestFit="1" customWidth="1"/>
    <col min="132" max="132" width="4.1328125" bestFit="1" customWidth="1"/>
    <col min="133" max="133" width="9.265625" bestFit="1" customWidth="1"/>
    <col min="134" max="134" width="12.86328125" bestFit="1" customWidth="1"/>
    <col min="135" max="135" width="7.1328125" bestFit="1" customWidth="1"/>
    <col min="136" max="136" width="6.86328125" bestFit="1" customWidth="1"/>
    <col min="137" max="137" width="8.59765625" bestFit="1" customWidth="1"/>
    <col min="138" max="138" width="7.3984375" bestFit="1" customWidth="1"/>
    <col min="139" max="139" width="6.265625" bestFit="1" customWidth="1"/>
    <col min="140" max="140" width="7.86328125" bestFit="1" customWidth="1"/>
    <col min="141" max="141" width="12" bestFit="1" customWidth="1"/>
    <col min="142" max="142" width="12" customWidth="1"/>
    <col min="146" max="146" width="14.265625" bestFit="1" customWidth="1"/>
    <col min="147" max="147" width="9.59765625" bestFit="1" customWidth="1"/>
    <col min="148" max="148" width="7.73046875" bestFit="1" customWidth="1"/>
    <col min="149" max="149" width="4.73046875" bestFit="1" customWidth="1"/>
    <col min="150" max="150" width="5.1328125" bestFit="1" customWidth="1"/>
    <col min="151" max="151" width="7.265625" bestFit="1" customWidth="1"/>
    <col min="152" max="152" width="4" bestFit="1" customWidth="1"/>
    <col min="153" max="153" width="6.73046875" bestFit="1" customWidth="1"/>
    <col min="154" max="154" width="7.265625" bestFit="1" customWidth="1"/>
    <col min="155" max="155" width="5" bestFit="1" customWidth="1"/>
    <col min="156" max="156" width="7.265625" bestFit="1" customWidth="1"/>
    <col min="157" max="157" width="5.265625" bestFit="1" customWidth="1"/>
    <col min="158" max="158" width="4.59765625" bestFit="1" customWidth="1"/>
    <col min="159" max="159" width="4.1328125" bestFit="1" customWidth="1"/>
    <col min="160" max="160" width="9.265625" bestFit="1" customWidth="1"/>
    <col min="161" max="161" width="12.86328125" bestFit="1" customWidth="1"/>
    <col min="162" max="162" width="7.1328125" bestFit="1" customWidth="1"/>
    <col min="163" max="163" width="6.86328125" bestFit="1" customWidth="1"/>
    <col min="164" max="164" width="8.59765625" bestFit="1" customWidth="1"/>
    <col min="165" max="165" width="7.3984375" bestFit="1" customWidth="1"/>
    <col min="166" max="166" width="6.265625" bestFit="1" customWidth="1"/>
    <col min="167" max="167" width="7.86328125" bestFit="1" customWidth="1"/>
    <col min="168" max="168" width="12" bestFit="1" customWidth="1"/>
    <col min="169" max="169" width="7.59765625" bestFit="1" customWidth="1"/>
    <col min="170" max="170" width="5.59765625" bestFit="1" customWidth="1"/>
    <col min="173" max="173" width="13" bestFit="1" customWidth="1"/>
    <col min="174" max="174" width="8.73046875" bestFit="1" customWidth="1"/>
    <col min="175" max="175" width="6.73046875" bestFit="1" customWidth="1"/>
    <col min="176" max="176" width="4" bestFit="1" customWidth="1"/>
    <col min="177" max="177" width="4.59765625" bestFit="1" customWidth="1"/>
    <col min="178" max="178" width="6.3984375" bestFit="1" customWidth="1"/>
    <col min="179" max="179" width="3.3984375" bestFit="1" customWidth="1"/>
    <col min="180" max="180" width="6" bestFit="1" customWidth="1"/>
    <col min="181" max="181" width="6.59765625" bestFit="1" customWidth="1"/>
    <col min="182" max="182" width="4.265625" bestFit="1" customWidth="1"/>
    <col min="183" max="183" width="6.59765625" bestFit="1" customWidth="1"/>
    <col min="184" max="184" width="4.73046875" bestFit="1" customWidth="1"/>
    <col min="185" max="185" width="4" bestFit="1" customWidth="1"/>
    <col min="186" max="186" width="3.73046875" bestFit="1" customWidth="1"/>
    <col min="187" max="187" width="8.3984375" bestFit="1" customWidth="1"/>
    <col min="188" max="188" width="11.59765625" bestFit="1" customWidth="1"/>
    <col min="189" max="189" width="6.265625" bestFit="1" customWidth="1"/>
    <col min="190" max="190" width="6" bestFit="1" customWidth="1"/>
    <col min="191" max="191" width="7.73046875" bestFit="1" customWidth="1"/>
    <col min="192" max="192" width="6.3984375" bestFit="1" customWidth="1"/>
    <col min="193" max="193" width="6.73046875" bestFit="1" customWidth="1"/>
    <col min="194" max="194" width="5.86328125" bestFit="1" customWidth="1"/>
    <col min="195" max="195" width="7.1328125" bestFit="1" customWidth="1"/>
    <col min="196" max="196" width="10.86328125" bestFit="1" customWidth="1"/>
    <col min="200" max="200" width="14.86328125" bestFit="1" customWidth="1"/>
    <col min="201" max="201" width="9.59765625" customWidth="1"/>
    <col min="202" max="202" width="7.73046875" customWidth="1"/>
    <col min="203" max="203" width="4.73046875" customWidth="1"/>
    <col min="204" max="204" width="5.1328125" customWidth="1"/>
    <col min="205" max="205" width="7.265625" customWidth="1"/>
    <col min="206" max="206" width="6.73046875" customWidth="1"/>
    <col min="207" max="207" width="7.265625" customWidth="1"/>
    <col min="208" max="208" width="5.265625" customWidth="1"/>
    <col min="209" max="209" width="4.59765625" customWidth="1"/>
    <col min="210" max="210" width="4.1328125" customWidth="1"/>
    <col min="211" max="211" width="9.265625" customWidth="1"/>
    <col min="212" max="212" width="12.86328125" customWidth="1"/>
    <col min="213" max="213" width="7.1328125" customWidth="1"/>
    <col min="214" max="214" width="6.86328125" customWidth="1"/>
    <col min="215" max="215" width="8.59765625" customWidth="1"/>
    <col min="216" max="216" width="7.3984375" customWidth="1"/>
    <col min="217" max="217" width="6.265625" customWidth="1"/>
    <col min="218" max="218" width="7.86328125" customWidth="1"/>
    <col min="219" max="219" width="12" customWidth="1"/>
    <col min="220" max="220" width="5.59765625" customWidth="1"/>
    <col min="221" max="222" width="10.59765625" customWidth="1"/>
    <col min="223" max="223" width="14.265625" bestFit="1" customWidth="1"/>
    <col min="224" max="224" width="8.3984375" bestFit="1" customWidth="1"/>
    <col min="225" max="225" width="6.59765625" bestFit="1" customWidth="1"/>
    <col min="226" max="226" width="4" bestFit="1" customWidth="1"/>
    <col min="227" max="227" width="4.3984375" bestFit="1" customWidth="1"/>
    <col min="228" max="228" width="6.265625" bestFit="1" customWidth="1"/>
    <col min="229" max="229" width="5.73046875" bestFit="1" customWidth="1"/>
    <col min="230" max="230" width="6.1328125" bestFit="1" customWidth="1"/>
    <col min="231" max="231" width="4.3984375" bestFit="1" customWidth="1"/>
    <col min="232" max="232" width="3.86328125" bestFit="1" customWidth="1"/>
    <col min="233" max="233" width="3.3984375" bestFit="1" customWidth="1"/>
    <col min="234" max="234" width="8" bestFit="1" customWidth="1"/>
    <col min="235" max="235" width="11.1328125" bestFit="1" customWidth="1"/>
    <col min="236" max="236" width="6" bestFit="1" customWidth="1"/>
    <col min="237" max="237" width="5.86328125" bestFit="1" customWidth="1"/>
    <col min="238" max="238" width="7.265625" bestFit="1" customWidth="1"/>
    <col min="239" max="239" width="6.3984375" bestFit="1" customWidth="1"/>
    <col min="240" max="240" width="5.265625" bestFit="1" customWidth="1"/>
    <col min="241" max="241" width="6.86328125" bestFit="1" customWidth="1"/>
    <col min="242" max="242" width="10.59765625" bestFit="1" customWidth="1"/>
    <col min="243" max="243" width="4.73046875" bestFit="1" customWidth="1"/>
  </cols>
  <sheetData>
    <row r="1" spans="1:243" ht="14.25" x14ac:dyDescent="0.45">
      <c r="B1" t="s">
        <v>0</v>
      </c>
    </row>
    <row r="3" spans="1:243" ht="14.25" x14ac:dyDescent="0.45">
      <c r="B3" t="s">
        <v>1</v>
      </c>
      <c r="S3" t="s">
        <v>2</v>
      </c>
      <c r="AK3" t="s">
        <v>3</v>
      </c>
      <c r="BF3" t="s">
        <v>4</v>
      </c>
      <c r="BY3" t="s">
        <v>5</v>
      </c>
      <c r="CS3" t="s">
        <v>6</v>
      </c>
      <c r="DP3" t="s">
        <v>7</v>
      </c>
      <c r="EP3" t="s">
        <v>8</v>
      </c>
      <c r="FQ3" t="s">
        <v>9</v>
      </c>
      <c r="GR3" t="s">
        <v>10</v>
      </c>
      <c r="HO3" t="s">
        <v>11</v>
      </c>
    </row>
    <row r="4" spans="1:243" ht="14.25" customHeight="1" x14ac:dyDescent="0.45">
      <c r="D4" s="6" t="s">
        <v>13</v>
      </c>
      <c r="E4" s="6"/>
      <c r="F4" s="6"/>
      <c r="G4" s="6"/>
      <c r="U4" s="6" t="s">
        <v>14</v>
      </c>
      <c r="V4" s="6"/>
      <c r="AM4" s="6" t="s">
        <v>14</v>
      </c>
      <c r="AN4" s="6"/>
      <c r="BI4" s="6" t="s">
        <v>14</v>
      </c>
      <c r="BJ4" s="6"/>
      <c r="CB4" s="6" t="s">
        <v>13</v>
      </c>
      <c r="CC4" s="6"/>
      <c r="CD4" s="6"/>
      <c r="CV4" s="6" t="s">
        <v>14</v>
      </c>
      <c r="CW4" s="6"/>
      <c r="DR4" s="6" t="s">
        <v>14</v>
      </c>
      <c r="DS4" s="6"/>
      <c r="ER4" s="6" t="s">
        <v>14</v>
      </c>
      <c r="ES4" s="6"/>
      <c r="GT4" s="6" t="s">
        <v>14</v>
      </c>
      <c r="GU4" s="6"/>
      <c r="HQ4" s="6" t="s">
        <v>14</v>
      </c>
      <c r="HR4" s="6"/>
    </row>
    <row r="5" spans="1:243" ht="14.25" x14ac:dyDescent="0.45">
      <c r="B5" t="s">
        <v>12</v>
      </c>
      <c r="C5" t="s">
        <v>16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S5" t="s">
        <v>12</v>
      </c>
      <c r="T5" t="s">
        <v>17</v>
      </c>
      <c r="U5" t="s">
        <v>18</v>
      </c>
      <c r="V5" t="s">
        <v>19</v>
      </c>
      <c r="W5" t="s">
        <v>20</v>
      </c>
      <c r="X5" t="s">
        <v>21</v>
      </c>
      <c r="Y5" t="s">
        <v>22</v>
      </c>
      <c r="Z5" t="s">
        <v>23</v>
      </c>
      <c r="AA5" t="s">
        <v>25</v>
      </c>
      <c r="AB5" t="s">
        <v>24</v>
      </c>
      <c r="AC5" t="s">
        <v>31</v>
      </c>
      <c r="AD5" t="s">
        <v>26</v>
      </c>
      <c r="AE5" t="s">
        <v>27</v>
      </c>
      <c r="AF5" t="s">
        <v>28</v>
      </c>
      <c r="AG5" t="s">
        <v>29</v>
      </c>
      <c r="AH5" t="s">
        <v>30</v>
      </c>
      <c r="AJ5" t="s">
        <v>32</v>
      </c>
      <c r="AK5" t="s">
        <v>12</v>
      </c>
      <c r="AL5" t="s">
        <v>17</v>
      </c>
      <c r="AM5" t="s">
        <v>18</v>
      </c>
      <c r="AN5" t="s">
        <v>19</v>
      </c>
      <c r="AO5" t="s">
        <v>20</v>
      </c>
      <c r="AP5" t="s">
        <v>21</v>
      </c>
      <c r="AQ5" t="s">
        <v>22</v>
      </c>
      <c r="AR5" t="s">
        <v>23</v>
      </c>
      <c r="AS5" t="s">
        <v>33</v>
      </c>
      <c r="AT5" t="s">
        <v>25</v>
      </c>
      <c r="AU5" t="s">
        <v>24</v>
      </c>
      <c r="AV5" t="s">
        <v>31</v>
      </c>
      <c r="AW5" t="s">
        <v>26</v>
      </c>
      <c r="AX5" t="s">
        <v>27</v>
      </c>
      <c r="AY5" t="s">
        <v>28</v>
      </c>
      <c r="AZ5" t="s">
        <v>34</v>
      </c>
      <c r="BA5" t="s">
        <v>29</v>
      </c>
      <c r="BB5" t="s">
        <v>30</v>
      </c>
      <c r="BF5" t="s">
        <v>12</v>
      </c>
      <c r="BG5" t="s">
        <v>17</v>
      </c>
      <c r="BH5" t="s">
        <v>18</v>
      </c>
      <c r="BI5" t="s">
        <v>19</v>
      </c>
      <c r="BJ5" t="s">
        <v>20</v>
      </c>
      <c r="BK5" t="s">
        <v>21</v>
      </c>
      <c r="BL5" t="s">
        <v>22</v>
      </c>
      <c r="BM5" t="s">
        <v>23</v>
      </c>
      <c r="BN5" t="s">
        <v>35</v>
      </c>
      <c r="BO5" t="s">
        <v>25</v>
      </c>
      <c r="BP5" t="s">
        <v>24</v>
      </c>
      <c r="BQ5" t="s">
        <v>31</v>
      </c>
      <c r="BR5" t="s">
        <v>26</v>
      </c>
      <c r="BS5" t="s">
        <v>27</v>
      </c>
      <c r="BT5" t="s">
        <v>28</v>
      </c>
      <c r="BU5" t="s">
        <v>29</v>
      </c>
      <c r="BV5" t="s">
        <v>36</v>
      </c>
      <c r="BY5" t="s">
        <v>12</v>
      </c>
      <c r="BZ5" t="s">
        <v>17</v>
      </c>
      <c r="CA5" t="s">
        <v>18</v>
      </c>
      <c r="CB5" t="s">
        <v>19</v>
      </c>
      <c r="CC5" t="s">
        <v>37</v>
      </c>
      <c r="CD5" t="s">
        <v>20</v>
      </c>
      <c r="CE5" t="s">
        <v>21</v>
      </c>
      <c r="CF5" t="s">
        <v>22</v>
      </c>
      <c r="CG5" t="s">
        <v>23</v>
      </c>
      <c r="CH5" t="s">
        <v>35</v>
      </c>
      <c r="CI5" t="s">
        <v>25</v>
      </c>
      <c r="CJ5" t="s">
        <v>24</v>
      </c>
      <c r="CK5" t="s">
        <v>31</v>
      </c>
      <c r="CL5" t="s">
        <v>26</v>
      </c>
      <c r="CM5" t="s">
        <v>27</v>
      </c>
      <c r="CN5" t="s">
        <v>28</v>
      </c>
      <c r="CO5" t="s">
        <v>29</v>
      </c>
      <c r="CP5" t="s">
        <v>30</v>
      </c>
      <c r="CS5" t="s">
        <v>12</v>
      </c>
      <c r="CT5" t="s">
        <v>38</v>
      </c>
      <c r="CU5" t="s">
        <v>17</v>
      </c>
      <c r="CV5" t="s">
        <v>18</v>
      </c>
      <c r="CW5" t="s">
        <v>19</v>
      </c>
      <c r="CX5" t="s">
        <v>37</v>
      </c>
      <c r="CY5" t="s">
        <v>20</v>
      </c>
      <c r="CZ5" t="s">
        <v>21</v>
      </c>
      <c r="DA5" t="s">
        <v>22</v>
      </c>
      <c r="DB5" t="s">
        <v>23</v>
      </c>
      <c r="DC5" t="s">
        <v>35</v>
      </c>
      <c r="DD5" t="s">
        <v>33</v>
      </c>
      <c r="DE5" t="s">
        <v>25</v>
      </c>
      <c r="DF5" t="s">
        <v>24</v>
      </c>
      <c r="DG5" t="s">
        <v>31</v>
      </c>
      <c r="DH5" t="s">
        <v>26</v>
      </c>
      <c r="DI5" t="s">
        <v>27</v>
      </c>
      <c r="DJ5" t="s">
        <v>28</v>
      </c>
      <c r="DK5" t="s">
        <v>34</v>
      </c>
      <c r="DL5" t="s">
        <v>29</v>
      </c>
      <c r="DM5" t="s">
        <v>30</v>
      </c>
      <c r="DP5" t="s">
        <v>12</v>
      </c>
      <c r="DQ5" t="s">
        <v>38</v>
      </c>
      <c r="DR5" t="s">
        <v>17</v>
      </c>
      <c r="DS5" t="s">
        <v>18</v>
      </c>
      <c r="DT5" t="s">
        <v>19</v>
      </c>
      <c r="DU5" t="s">
        <v>37</v>
      </c>
      <c r="DV5" t="s">
        <v>20</v>
      </c>
      <c r="DW5" t="s">
        <v>39</v>
      </c>
      <c r="DX5" t="s">
        <v>40</v>
      </c>
      <c r="DY5" t="s">
        <v>21</v>
      </c>
      <c r="DZ5" t="s">
        <v>22</v>
      </c>
      <c r="EA5" t="s">
        <v>23</v>
      </c>
      <c r="EB5" t="s">
        <v>35</v>
      </c>
      <c r="EC5" t="s">
        <v>33</v>
      </c>
      <c r="ED5" t="s">
        <v>25</v>
      </c>
      <c r="EE5" t="s">
        <v>24</v>
      </c>
      <c r="EF5" t="s">
        <v>31</v>
      </c>
      <c r="EG5" t="s">
        <v>26</v>
      </c>
      <c r="EH5" t="s">
        <v>27</v>
      </c>
      <c r="EI5" t="s">
        <v>28</v>
      </c>
      <c r="EJ5" t="s">
        <v>34</v>
      </c>
      <c r="EK5" t="s">
        <v>29</v>
      </c>
      <c r="EL5" t="s">
        <v>41</v>
      </c>
      <c r="EM5" t="s">
        <v>30</v>
      </c>
      <c r="EP5" t="s">
        <v>12</v>
      </c>
      <c r="EQ5" t="s">
        <v>41</v>
      </c>
      <c r="ER5" t="s">
        <v>38</v>
      </c>
      <c r="ES5" t="s">
        <v>17</v>
      </c>
      <c r="ET5" t="s">
        <v>18</v>
      </c>
      <c r="EU5" t="s">
        <v>19</v>
      </c>
      <c r="EV5" t="s">
        <v>37</v>
      </c>
      <c r="EW5" t="s">
        <v>20</v>
      </c>
      <c r="EX5" t="s">
        <v>39</v>
      </c>
      <c r="EY5" t="s">
        <v>40</v>
      </c>
      <c r="EZ5" t="s">
        <v>21</v>
      </c>
      <c r="FA5" t="s">
        <v>22</v>
      </c>
      <c r="FB5" t="s">
        <v>23</v>
      </c>
      <c r="FC5" t="s">
        <v>35</v>
      </c>
      <c r="FD5" t="s">
        <v>33</v>
      </c>
      <c r="FE5" t="s">
        <v>25</v>
      </c>
      <c r="FF5" t="s">
        <v>24</v>
      </c>
      <c r="FG5" t="s">
        <v>31</v>
      </c>
      <c r="FH5" t="s">
        <v>26</v>
      </c>
      <c r="FI5" t="s">
        <v>27</v>
      </c>
      <c r="FJ5" t="s">
        <v>28</v>
      </c>
      <c r="FK5" t="s">
        <v>34</v>
      </c>
      <c r="FL5" t="s">
        <v>29</v>
      </c>
      <c r="FM5" t="s">
        <v>42</v>
      </c>
      <c r="FN5" t="s">
        <v>30</v>
      </c>
      <c r="FQ5" t="s">
        <v>12</v>
      </c>
      <c r="FR5" t="s">
        <v>41</v>
      </c>
      <c r="FS5" t="s">
        <v>38</v>
      </c>
      <c r="FT5" t="s">
        <v>17</v>
      </c>
      <c r="FU5" t="s">
        <v>18</v>
      </c>
      <c r="FV5" t="s">
        <v>19</v>
      </c>
      <c r="FW5" t="s">
        <v>37</v>
      </c>
      <c r="FX5" t="s">
        <v>20</v>
      </c>
      <c r="FY5" t="s">
        <v>39</v>
      </c>
      <c r="FZ5" t="s">
        <v>40</v>
      </c>
      <c r="GA5" t="s">
        <v>21</v>
      </c>
      <c r="GB5" t="s">
        <v>22</v>
      </c>
      <c r="GC5" t="s">
        <v>23</v>
      </c>
      <c r="GD5" t="s">
        <v>35</v>
      </c>
      <c r="GE5" t="s">
        <v>33</v>
      </c>
      <c r="GF5" t="s">
        <v>25</v>
      </c>
      <c r="GG5" t="s">
        <v>24</v>
      </c>
      <c r="GH5" t="s">
        <v>31</v>
      </c>
      <c r="GI5" t="s">
        <v>26</v>
      </c>
      <c r="GJ5" t="s">
        <v>43</v>
      </c>
      <c r="GK5" t="s">
        <v>27</v>
      </c>
      <c r="GL5" t="s">
        <v>28</v>
      </c>
      <c r="GM5" t="s">
        <v>34</v>
      </c>
      <c r="GN5" t="s">
        <v>29</v>
      </c>
      <c r="GO5" t="s">
        <v>30</v>
      </c>
      <c r="GR5" t="s">
        <v>15</v>
      </c>
      <c r="GS5" t="s">
        <v>41</v>
      </c>
      <c r="GT5" t="s">
        <v>38</v>
      </c>
      <c r="GU5" t="s">
        <v>17</v>
      </c>
      <c r="GV5" t="s">
        <v>18</v>
      </c>
      <c r="GW5" t="s">
        <v>19</v>
      </c>
      <c r="GX5" t="s">
        <v>20</v>
      </c>
      <c r="GY5" t="s">
        <v>21</v>
      </c>
      <c r="GZ5" t="s">
        <v>22</v>
      </c>
      <c r="HA5" t="s">
        <v>23</v>
      </c>
      <c r="HB5" t="s">
        <v>35</v>
      </c>
      <c r="HC5" t="s">
        <v>33</v>
      </c>
      <c r="HD5" t="s">
        <v>25</v>
      </c>
      <c r="HE5" t="s">
        <v>24</v>
      </c>
      <c r="HF5" t="s">
        <v>31</v>
      </c>
      <c r="HG5" t="s">
        <v>26</v>
      </c>
      <c r="HH5" t="s">
        <v>27</v>
      </c>
      <c r="HI5" t="s">
        <v>28</v>
      </c>
      <c r="HJ5" t="s">
        <v>34</v>
      </c>
      <c r="HK5" t="s">
        <v>29</v>
      </c>
      <c r="HL5" t="s">
        <v>30</v>
      </c>
      <c r="HO5" t="s">
        <v>12</v>
      </c>
      <c r="HP5" t="s">
        <v>41</v>
      </c>
      <c r="HQ5" t="s">
        <v>38</v>
      </c>
      <c r="HR5" t="s">
        <v>17</v>
      </c>
      <c r="HS5" t="s">
        <v>18</v>
      </c>
      <c r="HT5" t="s">
        <v>19</v>
      </c>
      <c r="HU5" t="s">
        <v>20</v>
      </c>
      <c r="HV5" t="s">
        <v>21</v>
      </c>
      <c r="HW5" t="s">
        <v>22</v>
      </c>
      <c r="HX5" t="s">
        <v>23</v>
      </c>
      <c r="HY5" t="s">
        <v>35</v>
      </c>
      <c r="HZ5" t="s">
        <v>33</v>
      </c>
      <c r="IA5" t="s">
        <v>25</v>
      </c>
      <c r="IB5" t="s">
        <v>24</v>
      </c>
      <c r="IC5" t="s">
        <v>31</v>
      </c>
      <c r="ID5" t="s">
        <v>26</v>
      </c>
      <c r="IE5" t="s">
        <v>27</v>
      </c>
      <c r="IF5" t="s">
        <v>28</v>
      </c>
      <c r="IG5" t="s">
        <v>34</v>
      </c>
      <c r="IH5" t="s">
        <v>29</v>
      </c>
      <c r="II5" t="s">
        <v>30</v>
      </c>
    </row>
    <row r="6" spans="1:243" ht="14.25" x14ac:dyDescent="0.45">
      <c r="A6" s="6" t="s">
        <v>32</v>
      </c>
      <c r="B6" t="s">
        <v>16</v>
      </c>
      <c r="P6">
        <f>SUM(C6:O6)</f>
        <v>0</v>
      </c>
      <c r="R6" t="s">
        <v>32</v>
      </c>
      <c r="S6" t="s">
        <v>17</v>
      </c>
      <c r="T6">
        <v>3</v>
      </c>
      <c r="AC6">
        <v>1</v>
      </c>
      <c r="AG6">
        <v>1</v>
      </c>
      <c r="AH6">
        <f>SUM(T6:AG6)</f>
        <v>5</v>
      </c>
      <c r="AK6" t="s">
        <v>17</v>
      </c>
      <c r="AL6">
        <v>23</v>
      </c>
      <c r="AN6">
        <v>1</v>
      </c>
      <c r="AP6">
        <v>1</v>
      </c>
      <c r="AZ6">
        <v>1</v>
      </c>
      <c r="BA6">
        <v>4</v>
      </c>
      <c r="BB6">
        <f>SUM(AL6:BA6)</f>
        <v>30</v>
      </c>
      <c r="BE6" t="s">
        <v>32</v>
      </c>
      <c r="BF6" t="s">
        <v>17</v>
      </c>
      <c r="BG6">
        <v>54</v>
      </c>
      <c r="BJ6">
        <v>1</v>
      </c>
      <c r="BL6">
        <v>1</v>
      </c>
      <c r="BM6">
        <v>1</v>
      </c>
      <c r="BS6">
        <v>5</v>
      </c>
      <c r="BU6">
        <v>5</v>
      </c>
      <c r="BV6">
        <f>SUM(BG6:BU6)</f>
        <v>67</v>
      </c>
      <c r="BX6" t="s">
        <v>32</v>
      </c>
      <c r="BY6" t="s">
        <v>17</v>
      </c>
      <c r="BZ6">
        <v>8</v>
      </c>
      <c r="CB6">
        <v>1</v>
      </c>
      <c r="CF6">
        <v>1</v>
      </c>
      <c r="CK6">
        <v>1</v>
      </c>
      <c r="CM6">
        <v>1</v>
      </c>
      <c r="CO6">
        <v>1</v>
      </c>
      <c r="CP6">
        <f>SUM(BZ6:CO6)</f>
        <v>13</v>
      </c>
      <c r="CR6" t="s">
        <v>32</v>
      </c>
      <c r="CS6" t="s">
        <v>38</v>
      </c>
      <c r="DO6" t="s">
        <v>32</v>
      </c>
      <c r="DP6" t="s">
        <v>38</v>
      </c>
      <c r="EM6">
        <f>SUM(DQ6:EL6)</f>
        <v>0</v>
      </c>
      <c r="EO6" t="s">
        <v>32</v>
      </c>
      <c r="EP6" t="s">
        <v>41</v>
      </c>
      <c r="FL6">
        <v>1</v>
      </c>
      <c r="FN6">
        <f>SUM(EQ6:FM6)</f>
        <v>1</v>
      </c>
      <c r="FQ6" t="s">
        <v>41</v>
      </c>
      <c r="GF6">
        <v>3</v>
      </c>
      <c r="GO6">
        <f>SUM(FR6:GN6)</f>
        <v>3</v>
      </c>
      <c r="GQ6" t="s">
        <v>32</v>
      </c>
      <c r="GR6" t="s">
        <v>41</v>
      </c>
      <c r="HL6">
        <f t="shared" ref="HL6:HL24" si="0">SUM(GS6:HK6)</f>
        <v>0</v>
      </c>
      <c r="HN6" t="s">
        <v>32</v>
      </c>
      <c r="HO6" t="s">
        <v>41</v>
      </c>
      <c r="II6">
        <f>SUM(HP6:IH6)</f>
        <v>0</v>
      </c>
    </row>
    <row r="7" spans="1:243" ht="14.25" x14ac:dyDescent="0.45">
      <c r="A7" s="6"/>
      <c r="B7" t="s">
        <v>18</v>
      </c>
      <c r="C7">
        <v>1</v>
      </c>
      <c r="D7">
        <v>25</v>
      </c>
      <c r="G7">
        <v>1</v>
      </c>
      <c r="H7">
        <v>3</v>
      </c>
      <c r="I7">
        <v>2</v>
      </c>
      <c r="K7">
        <v>1</v>
      </c>
      <c r="L7">
        <v>6</v>
      </c>
      <c r="M7">
        <v>3</v>
      </c>
      <c r="N7">
        <v>1</v>
      </c>
      <c r="O7">
        <v>8</v>
      </c>
      <c r="P7">
        <f t="shared" ref="P7:P18" si="1">SUM(C7:O7)</f>
        <v>51</v>
      </c>
      <c r="S7" t="s">
        <v>18</v>
      </c>
      <c r="U7">
        <v>17</v>
      </c>
      <c r="X7">
        <v>7</v>
      </c>
      <c r="Y7">
        <v>2</v>
      </c>
      <c r="Z7">
        <v>2</v>
      </c>
      <c r="AA7">
        <v>6</v>
      </c>
      <c r="AC7">
        <v>3</v>
      </c>
      <c r="AD7">
        <v>4</v>
      </c>
      <c r="AE7">
        <v>1</v>
      </c>
      <c r="AF7">
        <v>3</v>
      </c>
      <c r="AG7">
        <v>10</v>
      </c>
      <c r="AH7">
        <f t="shared" ref="AH7:AH19" si="2">SUM(T7:AG7)</f>
        <v>55</v>
      </c>
      <c r="AK7" t="s">
        <v>18</v>
      </c>
      <c r="AM7">
        <v>10</v>
      </c>
      <c r="AP7">
        <v>4</v>
      </c>
      <c r="AT7">
        <v>1</v>
      </c>
      <c r="AW7">
        <v>2</v>
      </c>
      <c r="BA7">
        <v>4</v>
      </c>
      <c r="BB7">
        <f t="shared" ref="BB7:BB21" si="3">SUM(AL7:BA7)</f>
        <v>21</v>
      </c>
      <c r="BF7" t="s">
        <v>18</v>
      </c>
      <c r="BH7">
        <v>66</v>
      </c>
      <c r="BK7">
        <v>2</v>
      </c>
      <c r="BL7">
        <v>1</v>
      </c>
      <c r="BM7">
        <v>7</v>
      </c>
      <c r="BO7">
        <v>21</v>
      </c>
      <c r="BQ7">
        <v>1</v>
      </c>
      <c r="BR7">
        <v>4</v>
      </c>
      <c r="BS7">
        <v>3</v>
      </c>
      <c r="BT7">
        <v>1</v>
      </c>
      <c r="BU7">
        <v>21</v>
      </c>
      <c r="BV7">
        <f t="shared" ref="BV7:BV20" si="4">SUM(BG7:BU7)</f>
        <v>127</v>
      </c>
      <c r="BY7" t="s">
        <v>18</v>
      </c>
      <c r="CA7">
        <v>21</v>
      </c>
      <c r="CC7">
        <v>1</v>
      </c>
      <c r="CG7">
        <v>2</v>
      </c>
      <c r="CI7">
        <v>2</v>
      </c>
      <c r="CM7">
        <v>4</v>
      </c>
      <c r="CO7">
        <v>3</v>
      </c>
      <c r="CP7">
        <f t="shared" ref="CP7:CP21" si="5">SUM(BZ7:CO7)</f>
        <v>33</v>
      </c>
      <c r="CS7" t="s">
        <v>17</v>
      </c>
      <c r="CU7">
        <v>33</v>
      </c>
      <c r="DB7">
        <v>1</v>
      </c>
      <c r="DE7">
        <v>1</v>
      </c>
      <c r="DL7">
        <v>3</v>
      </c>
      <c r="DM7">
        <f>SUM(CT7:DL7)</f>
        <v>38</v>
      </c>
      <c r="DP7" t="s">
        <v>17</v>
      </c>
      <c r="DR7">
        <v>50</v>
      </c>
      <c r="DT7">
        <v>2</v>
      </c>
      <c r="DY7">
        <v>6</v>
      </c>
      <c r="ED7">
        <v>1</v>
      </c>
      <c r="EH7">
        <v>1</v>
      </c>
      <c r="EI7">
        <v>1</v>
      </c>
      <c r="EK7">
        <v>19</v>
      </c>
      <c r="EM7">
        <f t="shared" ref="EM7:EM27" si="6">SUM(DQ7:EL7)</f>
        <v>80</v>
      </c>
      <c r="EP7" t="s">
        <v>38</v>
      </c>
      <c r="FN7">
        <f t="shared" ref="FN7:FN28" si="7">SUM(EQ7:FM7)</f>
        <v>0</v>
      </c>
      <c r="FQ7" t="s">
        <v>38</v>
      </c>
      <c r="GO7">
        <f t="shared" ref="GO7:GO28" si="8">SUM(FR7:GN7)</f>
        <v>0</v>
      </c>
      <c r="GR7" t="s">
        <v>38</v>
      </c>
      <c r="HL7">
        <f t="shared" si="0"/>
        <v>0</v>
      </c>
      <c r="HO7" t="s">
        <v>38</v>
      </c>
      <c r="II7">
        <f t="shared" ref="II7:II11" si="9">SUM(HP7:IH7)</f>
        <v>0</v>
      </c>
    </row>
    <row r="8" spans="1:243" ht="14.25" x14ac:dyDescent="0.45">
      <c r="B8" t="s">
        <v>19</v>
      </c>
      <c r="P8">
        <f t="shared" si="1"/>
        <v>0</v>
      </c>
      <c r="S8" t="s">
        <v>19</v>
      </c>
      <c r="X8" t="s">
        <v>77</v>
      </c>
      <c r="AH8">
        <f t="shared" si="2"/>
        <v>0</v>
      </c>
      <c r="AK8" t="s">
        <v>19</v>
      </c>
      <c r="BB8">
        <f t="shared" si="3"/>
        <v>0</v>
      </c>
      <c r="BF8" t="s">
        <v>19</v>
      </c>
      <c r="BV8">
        <f t="shared" si="4"/>
        <v>0</v>
      </c>
      <c r="BY8" t="s">
        <v>19</v>
      </c>
      <c r="CP8">
        <f t="shared" si="5"/>
        <v>0</v>
      </c>
      <c r="CS8" t="s">
        <v>18</v>
      </c>
      <c r="CT8">
        <v>4</v>
      </c>
      <c r="CV8">
        <v>29</v>
      </c>
      <c r="CW8">
        <v>1</v>
      </c>
      <c r="CZ8">
        <v>19</v>
      </c>
      <c r="DA8">
        <v>44</v>
      </c>
      <c r="DD8">
        <v>1</v>
      </c>
      <c r="DG8">
        <v>3</v>
      </c>
      <c r="DH8">
        <v>16</v>
      </c>
      <c r="DJ8">
        <v>3</v>
      </c>
      <c r="DL8">
        <v>21</v>
      </c>
      <c r="DM8">
        <f t="shared" ref="DM8:DM24" si="10">SUM(CT8:DL8)</f>
        <v>141</v>
      </c>
      <c r="DP8" t="s">
        <v>18</v>
      </c>
      <c r="DQ8">
        <v>9</v>
      </c>
      <c r="DS8">
        <v>219</v>
      </c>
      <c r="DT8">
        <v>3</v>
      </c>
      <c r="DU8">
        <v>1</v>
      </c>
      <c r="DV8">
        <v>2</v>
      </c>
      <c r="DW8">
        <v>1</v>
      </c>
      <c r="DX8">
        <v>1</v>
      </c>
      <c r="DY8">
        <v>19</v>
      </c>
      <c r="DZ8">
        <v>75</v>
      </c>
      <c r="EA8">
        <v>31</v>
      </c>
      <c r="EB8">
        <v>1</v>
      </c>
      <c r="EC8">
        <v>1</v>
      </c>
      <c r="ED8">
        <v>27</v>
      </c>
      <c r="EE8">
        <v>5</v>
      </c>
      <c r="EF8">
        <v>3</v>
      </c>
      <c r="EG8">
        <v>54</v>
      </c>
      <c r="EH8">
        <v>8</v>
      </c>
      <c r="EI8">
        <v>22</v>
      </c>
      <c r="EJ8">
        <v>1</v>
      </c>
      <c r="EK8">
        <v>75</v>
      </c>
      <c r="EM8">
        <f t="shared" si="6"/>
        <v>558</v>
      </c>
      <c r="EP8" t="s">
        <v>17</v>
      </c>
      <c r="ES8">
        <v>40</v>
      </c>
      <c r="EU8">
        <v>1</v>
      </c>
      <c r="EW8">
        <v>7</v>
      </c>
      <c r="EZ8">
        <v>7</v>
      </c>
      <c r="FA8">
        <v>7</v>
      </c>
      <c r="FB8">
        <v>1</v>
      </c>
      <c r="FE8">
        <v>1</v>
      </c>
      <c r="FF8">
        <v>1</v>
      </c>
      <c r="FI8">
        <v>12</v>
      </c>
      <c r="FJ8">
        <v>1</v>
      </c>
      <c r="FK8">
        <v>2</v>
      </c>
      <c r="FL8">
        <v>41</v>
      </c>
      <c r="FN8">
        <f t="shared" si="7"/>
        <v>121</v>
      </c>
      <c r="FQ8" t="s">
        <v>17</v>
      </c>
      <c r="FT8">
        <v>3</v>
      </c>
      <c r="GN8">
        <v>1</v>
      </c>
      <c r="GO8">
        <f t="shared" si="8"/>
        <v>4</v>
      </c>
      <c r="GR8" t="s">
        <v>17</v>
      </c>
      <c r="HL8">
        <f t="shared" si="0"/>
        <v>0</v>
      </c>
      <c r="HO8" t="s">
        <v>17</v>
      </c>
      <c r="HR8">
        <v>1</v>
      </c>
      <c r="II8">
        <f t="shared" si="9"/>
        <v>1</v>
      </c>
    </row>
    <row r="9" spans="1:243" ht="14.25" x14ac:dyDescent="0.45">
      <c r="B9" t="s">
        <v>20</v>
      </c>
      <c r="F9">
        <v>1</v>
      </c>
      <c r="P9">
        <f t="shared" si="1"/>
        <v>1</v>
      </c>
      <c r="S9" t="s">
        <v>20</v>
      </c>
      <c r="W9">
        <v>1</v>
      </c>
      <c r="AH9">
        <f t="shared" si="2"/>
        <v>1</v>
      </c>
      <c r="AK9" t="s">
        <v>20</v>
      </c>
      <c r="AO9">
        <v>1</v>
      </c>
      <c r="BB9">
        <f t="shared" si="3"/>
        <v>1</v>
      </c>
      <c r="BF9" t="s">
        <v>20</v>
      </c>
      <c r="BJ9">
        <v>22</v>
      </c>
      <c r="BS9">
        <v>3</v>
      </c>
      <c r="BU9">
        <v>2</v>
      </c>
      <c r="BV9">
        <f t="shared" si="4"/>
        <v>27</v>
      </c>
      <c r="BY9" t="s">
        <v>37</v>
      </c>
      <c r="CP9">
        <f t="shared" si="5"/>
        <v>0</v>
      </c>
      <c r="CS9" t="s">
        <v>19</v>
      </c>
      <c r="DM9">
        <f t="shared" si="10"/>
        <v>0</v>
      </c>
      <c r="DP9" t="s">
        <v>19</v>
      </c>
      <c r="DT9">
        <v>2</v>
      </c>
      <c r="EM9">
        <f t="shared" si="6"/>
        <v>2</v>
      </c>
      <c r="EP9" t="s">
        <v>18</v>
      </c>
      <c r="ER9">
        <v>1</v>
      </c>
      <c r="ET9">
        <v>82</v>
      </c>
      <c r="EZ9">
        <v>6</v>
      </c>
      <c r="FA9">
        <v>18</v>
      </c>
      <c r="FB9">
        <v>8</v>
      </c>
      <c r="FE9">
        <v>2</v>
      </c>
      <c r="FG9">
        <v>2</v>
      </c>
      <c r="FH9">
        <v>4</v>
      </c>
      <c r="FI9">
        <v>1</v>
      </c>
      <c r="FJ9">
        <v>2</v>
      </c>
      <c r="FL9">
        <v>29</v>
      </c>
      <c r="FN9">
        <f t="shared" si="7"/>
        <v>155</v>
      </c>
      <c r="FQ9" t="s">
        <v>18</v>
      </c>
      <c r="FU9">
        <v>74</v>
      </c>
      <c r="FY9">
        <v>1</v>
      </c>
      <c r="GA9">
        <v>8</v>
      </c>
      <c r="GB9">
        <v>12</v>
      </c>
      <c r="GC9">
        <v>4</v>
      </c>
      <c r="GF9">
        <v>1</v>
      </c>
      <c r="GI9">
        <v>14</v>
      </c>
      <c r="GL9">
        <v>3</v>
      </c>
      <c r="GN9">
        <v>14</v>
      </c>
      <c r="GO9">
        <f t="shared" si="8"/>
        <v>131</v>
      </c>
      <c r="GR9" t="s">
        <v>18</v>
      </c>
      <c r="GT9">
        <v>4</v>
      </c>
      <c r="GV9">
        <v>37</v>
      </c>
      <c r="GY9">
        <v>4</v>
      </c>
      <c r="GZ9">
        <v>40</v>
      </c>
      <c r="HC9">
        <v>1</v>
      </c>
      <c r="HD9">
        <v>1</v>
      </c>
      <c r="HE9">
        <v>1</v>
      </c>
      <c r="HF9">
        <v>1</v>
      </c>
      <c r="HG9">
        <v>20</v>
      </c>
      <c r="HI9">
        <v>5</v>
      </c>
      <c r="HK9">
        <v>23</v>
      </c>
      <c r="HL9">
        <f t="shared" si="0"/>
        <v>137</v>
      </c>
      <c r="HO9" t="s">
        <v>18</v>
      </c>
      <c r="HS9">
        <v>18</v>
      </c>
      <c r="HW9">
        <v>4</v>
      </c>
      <c r="HX9">
        <v>8</v>
      </c>
      <c r="HZ9">
        <v>6</v>
      </c>
      <c r="IA9">
        <v>1</v>
      </c>
      <c r="IB9">
        <v>1</v>
      </c>
      <c r="ID9">
        <v>25</v>
      </c>
      <c r="IF9">
        <v>1</v>
      </c>
      <c r="IH9">
        <v>10</v>
      </c>
      <c r="II9">
        <f t="shared" si="9"/>
        <v>74</v>
      </c>
    </row>
    <row r="10" spans="1:243" ht="14.25" x14ac:dyDescent="0.45">
      <c r="B10" t="s">
        <v>21</v>
      </c>
      <c r="P10">
        <f t="shared" si="1"/>
        <v>0</v>
      </c>
      <c r="S10" t="s">
        <v>21</v>
      </c>
      <c r="AH10">
        <f t="shared" si="2"/>
        <v>0</v>
      </c>
      <c r="AK10" t="s">
        <v>21</v>
      </c>
      <c r="BB10">
        <f t="shared" si="3"/>
        <v>0</v>
      </c>
      <c r="BF10" t="s">
        <v>21</v>
      </c>
      <c r="BV10">
        <f t="shared" si="4"/>
        <v>0</v>
      </c>
      <c r="BY10" t="s">
        <v>20</v>
      </c>
      <c r="CP10">
        <f t="shared" si="5"/>
        <v>0</v>
      </c>
      <c r="CS10" t="s">
        <v>37</v>
      </c>
      <c r="DM10">
        <f t="shared" si="10"/>
        <v>0</v>
      </c>
      <c r="DP10" t="s">
        <v>37</v>
      </c>
      <c r="EM10">
        <f t="shared" si="6"/>
        <v>0</v>
      </c>
      <c r="EP10" t="s">
        <v>19</v>
      </c>
      <c r="FN10">
        <f t="shared" si="7"/>
        <v>0</v>
      </c>
      <c r="FQ10" t="s">
        <v>19</v>
      </c>
      <c r="FT10">
        <v>1</v>
      </c>
      <c r="FV10">
        <v>32</v>
      </c>
      <c r="GB10">
        <v>2</v>
      </c>
      <c r="GN10">
        <v>4</v>
      </c>
      <c r="GO10">
        <f t="shared" si="8"/>
        <v>39</v>
      </c>
      <c r="GR10" t="s">
        <v>19</v>
      </c>
      <c r="GW10">
        <v>13</v>
      </c>
      <c r="GZ10">
        <v>2</v>
      </c>
      <c r="HD10">
        <v>2</v>
      </c>
      <c r="HK10">
        <v>1</v>
      </c>
      <c r="HL10">
        <f t="shared" si="0"/>
        <v>18</v>
      </c>
      <c r="HO10" t="s">
        <v>19</v>
      </c>
      <c r="HT10">
        <v>1</v>
      </c>
      <c r="HV10">
        <v>2</v>
      </c>
      <c r="II10">
        <f t="shared" si="9"/>
        <v>3</v>
      </c>
    </row>
    <row r="11" spans="1:243" ht="14.25" x14ac:dyDescent="0.45">
      <c r="B11" t="s">
        <v>22</v>
      </c>
      <c r="H11">
        <v>4</v>
      </c>
      <c r="P11">
        <f t="shared" si="1"/>
        <v>4</v>
      </c>
      <c r="S11" t="s">
        <v>22</v>
      </c>
      <c r="AH11">
        <f t="shared" si="2"/>
        <v>0</v>
      </c>
      <c r="AK11" t="s">
        <v>22</v>
      </c>
      <c r="BB11">
        <f t="shared" si="3"/>
        <v>0</v>
      </c>
      <c r="BF11" t="s">
        <v>22</v>
      </c>
      <c r="BV11">
        <f t="shared" si="4"/>
        <v>0</v>
      </c>
      <c r="BY11" t="s">
        <v>21</v>
      </c>
      <c r="CP11">
        <f t="shared" si="5"/>
        <v>0</v>
      </c>
      <c r="CS11" t="s">
        <v>20</v>
      </c>
      <c r="CY11">
        <v>9</v>
      </c>
      <c r="DI11">
        <v>1</v>
      </c>
      <c r="DM11">
        <f t="shared" si="10"/>
        <v>10</v>
      </c>
      <c r="DP11" t="s">
        <v>20</v>
      </c>
      <c r="DV11">
        <v>13</v>
      </c>
      <c r="EM11">
        <f t="shared" si="6"/>
        <v>13</v>
      </c>
      <c r="EP11" t="s">
        <v>37</v>
      </c>
      <c r="FN11">
        <f t="shared" si="7"/>
        <v>0</v>
      </c>
      <c r="FQ11" t="s">
        <v>37</v>
      </c>
      <c r="GO11">
        <f t="shared" si="8"/>
        <v>0</v>
      </c>
      <c r="GR11" t="s">
        <v>20</v>
      </c>
      <c r="HL11">
        <f t="shared" si="0"/>
        <v>0</v>
      </c>
      <c r="HO11" t="s">
        <v>20</v>
      </c>
      <c r="II11">
        <f t="shared" si="9"/>
        <v>0</v>
      </c>
    </row>
    <row r="12" spans="1:243" ht="14.25" x14ac:dyDescent="0.45">
      <c r="B12" t="s">
        <v>23</v>
      </c>
      <c r="P12">
        <f t="shared" si="1"/>
        <v>0</v>
      </c>
      <c r="S12" t="s">
        <v>23</v>
      </c>
      <c r="AH12">
        <f t="shared" si="2"/>
        <v>0</v>
      </c>
      <c r="AK12" t="s">
        <v>23</v>
      </c>
      <c r="BB12">
        <f t="shared" si="3"/>
        <v>0</v>
      </c>
      <c r="BF12" t="s">
        <v>23</v>
      </c>
      <c r="BV12">
        <f t="shared" si="4"/>
        <v>0</v>
      </c>
      <c r="BY12" t="s">
        <v>22</v>
      </c>
      <c r="CP12">
        <f t="shared" si="5"/>
        <v>0</v>
      </c>
      <c r="CS12" t="s">
        <v>21</v>
      </c>
      <c r="DM12">
        <f t="shared" si="10"/>
        <v>0</v>
      </c>
      <c r="DP12" t="s">
        <v>39</v>
      </c>
      <c r="EM12">
        <f t="shared" si="6"/>
        <v>0</v>
      </c>
      <c r="EP12" t="s">
        <v>20</v>
      </c>
      <c r="EW12">
        <v>73</v>
      </c>
      <c r="EZ12">
        <v>1</v>
      </c>
      <c r="FG12">
        <v>1</v>
      </c>
      <c r="FN12">
        <f t="shared" si="7"/>
        <v>75</v>
      </c>
      <c r="FQ12" t="s">
        <v>20</v>
      </c>
      <c r="GO12">
        <f t="shared" si="8"/>
        <v>0</v>
      </c>
      <c r="GR12" t="s">
        <v>21</v>
      </c>
      <c r="GY12">
        <v>7</v>
      </c>
      <c r="HL12">
        <f t="shared" si="0"/>
        <v>7</v>
      </c>
      <c r="HO12" t="s">
        <v>21</v>
      </c>
      <c r="II12">
        <f t="shared" ref="II12:II24" si="11">SUM(HP12:IH12)</f>
        <v>0</v>
      </c>
    </row>
    <row r="13" spans="1:243" ht="14.25" x14ac:dyDescent="0.45">
      <c r="B13" t="s">
        <v>24</v>
      </c>
      <c r="J13">
        <v>1</v>
      </c>
      <c r="P13">
        <f t="shared" si="1"/>
        <v>1</v>
      </c>
      <c r="S13" t="s">
        <v>25</v>
      </c>
      <c r="T13">
        <v>1</v>
      </c>
      <c r="X13">
        <v>1</v>
      </c>
      <c r="AB13">
        <v>3</v>
      </c>
      <c r="AG13">
        <v>3</v>
      </c>
      <c r="AH13">
        <f t="shared" si="2"/>
        <v>8</v>
      </c>
      <c r="AK13" t="s">
        <v>33</v>
      </c>
      <c r="BB13">
        <f t="shared" si="3"/>
        <v>0</v>
      </c>
      <c r="BF13" t="s">
        <v>35</v>
      </c>
      <c r="BV13">
        <f t="shared" si="4"/>
        <v>0</v>
      </c>
      <c r="BY13" t="s">
        <v>23</v>
      </c>
      <c r="CP13">
        <f t="shared" si="5"/>
        <v>0</v>
      </c>
      <c r="CS13" t="s">
        <v>22</v>
      </c>
      <c r="DM13">
        <f t="shared" si="10"/>
        <v>0</v>
      </c>
      <c r="DP13" t="s">
        <v>40</v>
      </c>
      <c r="EM13">
        <f t="shared" si="6"/>
        <v>0</v>
      </c>
      <c r="EP13" t="s">
        <v>39</v>
      </c>
      <c r="FN13">
        <f t="shared" si="7"/>
        <v>0</v>
      </c>
      <c r="FQ13" t="s">
        <v>39</v>
      </c>
      <c r="GO13">
        <f t="shared" si="8"/>
        <v>0</v>
      </c>
      <c r="GR13" t="s">
        <v>22</v>
      </c>
      <c r="HL13">
        <f t="shared" si="0"/>
        <v>0</v>
      </c>
      <c r="HO13" t="s">
        <v>22</v>
      </c>
      <c r="HV13">
        <v>1</v>
      </c>
      <c r="HW13">
        <v>22</v>
      </c>
      <c r="II13">
        <f t="shared" si="11"/>
        <v>23</v>
      </c>
    </row>
    <row r="14" spans="1:243" ht="14.25" x14ac:dyDescent="0.45">
      <c r="B14" t="s">
        <v>25</v>
      </c>
      <c r="E14">
        <v>1</v>
      </c>
      <c r="J14">
        <v>3</v>
      </c>
      <c r="O14">
        <v>75</v>
      </c>
      <c r="P14">
        <f t="shared" si="1"/>
        <v>79</v>
      </c>
      <c r="S14" t="s">
        <v>24</v>
      </c>
      <c r="AB14">
        <v>39</v>
      </c>
      <c r="AH14">
        <f t="shared" si="2"/>
        <v>39</v>
      </c>
      <c r="AK14" t="s">
        <v>25</v>
      </c>
      <c r="AL14">
        <v>7</v>
      </c>
      <c r="AN14">
        <v>1</v>
      </c>
      <c r="AS14">
        <v>2</v>
      </c>
      <c r="AT14">
        <v>1</v>
      </c>
      <c r="AU14">
        <v>1</v>
      </c>
      <c r="AV14">
        <v>1</v>
      </c>
      <c r="AW14">
        <v>2</v>
      </c>
      <c r="BA14">
        <v>20</v>
      </c>
      <c r="BB14">
        <f t="shared" si="3"/>
        <v>35</v>
      </c>
      <c r="BF14" t="s">
        <v>25</v>
      </c>
      <c r="BG14">
        <v>100</v>
      </c>
      <c r="BJ14">
        <v>1</v>
      </c>
      <c r="BK14">
        <v>9</v>
      </c>
      <c r="BO14">
        <v>9</v>
      </c>
      <c r="BP14">
        <v>4</v>
      </c>
      <c r="BS14">
        <v>1</v>
      </c>
      <c r="BU14">
        <v>26</v>
      </c>
      <c r="BV14">
        <f t="shared" si="4"/>
        <v>150</v>
      </c>
      <c r="BY14" t="s">
        <v>35</v>
      </c>
      <c r="CP14">
        <f t="shared" si="5"/>
        <v>0</v>
      </c>
      <c r="CS14" t="s">
        <v>23</v>
      </c>
      <c r="DM14">
        <f t="shared" si="10"/>
        <v>0</v>
      </c>
      <c r="DP14" t="s">
        <v>21</v>
      </c>
      <c r="DY14">
        <v>2</v>
      </c>
      <c r="EM14">
        <f t="shared" si="6"/>
        <v>2</v>
      </c>
      <c r="EP14" t="s">
        <v>40</v>
      </c>
      <c r="FN14">
        <f t="shared" si="7"/>
        <v>0</v>
      </c>
      <c r="FQ14" t="s">
        <v>40</v>
      </c>
      <c r="GO14">
        <f t="shared" si="8"/>
        <v>0</v>
      </c>
      <c r="GR14" t="s">
        <v>23</v>
      </c>
      <c r="HL14">
        <f t="shared" si="0"/>
        <v>0</v>
      </c>
      <c r="HO14" t="s">
        <v>23</v>
      </c>
      <c r="II14">
        <f t="shared" si="11"/>
        <v>0</v>
      </c>
    </row>
    <row r="15" spans="1:243" ht="14.25" x14ac:dyDescent="0.45">
      <c r="B15" t="s">
        <v>26</v>
      </c>
      <c r="P15">
        <f t="shared" si="1"/>
        <v>0</v>
      </c>
      <c r="S15" t="s">
        <v>31</v>
      </c>
      <c r="AH15">
        <f t="shared" si="2"/>
        <v>0</v>
      </c>
      <c r="AK15" t="s">
        <v>24</v>
      </c>
      <c r="AU15">
        <v>2</v>
      </c>
      <c r="BB15">
        <f t="shared" si="3"/>
        <v>2</v>
      </c>
      <c r="BF15" t="s">
        <v>24</v>
      </c>
      <c r="BP15">
        <v>7</v>
      </c>
      <c r="BV15">
        <f t="shared" si="4"/>
        <v>7</v>
      </c>
      <c r="BY15" t="s">
        <v>25</v>
      </c>
      <c r="CG15">
        <v>1</v>
      </c>
      <c r="CM15">
        <v>1</v>
      </c>
      <c r="CO15">
        <v>1</v>
      </c>
      <c r="CP15">
        <f t="shared" si="5"/>
        <v>3</v>
      </c>
      <c r="CS15" t="s">
        <v>35</v>
      </c>
      <c r="DM15">
        <f t="shared" si="10"/>
        <v>0</v>
      </c>
      <c r="DP15" t="s">
        <v>22</v>
      </c>
      <c r="DZ15">
        <v>1</v>
      </c>
      <c r="EM15">
        <f t="shared" si="6"/>
        <v>1</v>
      </c>
      <c r="EP15" t="s">
        <v>21</v>
      </c>
      <c r="FN15">
        <f t="shared" si="7"/>
        <v>0</v>
      </c>
      <c r="FQ15" t="s">
        <v>21</v>
      </c>
      <c r="GO15">
        <f t="shared" si="8"/>
        <v>0</v>
      </c>
      <c r="GR15" t="s">
        <v>35</v>
      </c>
      <c r="HL15">
        <f t="shared" si="0"/>
        <v>0</v>
      </c>
      <c r="HO15" t="s">
        <v>35</v>
      </c>
      <c r="II15">
        <f t="shared" si="11"/>
        <v>0</v>
      </c>
    </row>
    <row r="16" spans="1:243" ht="14.25" x14ac:dyDescent="0.45">
      <c r="B16" t="s">
        <v>27</v>
      </c>
      <c r="P16">
        <f t="shared" si="1"/>
        <v>0</v>
      </c>
      <c r="S16" t="s">
        <v>26</v>
      </c>
      <c r="AH16">
        <f t="shared" si="2"/>
        <v>0</v>
      </c>
      <c r="AK16" t="s">
        <v>31</v>
      </c>
      <c r="BB16">
        <f t="shared" si="3"/>
        <v>0</v>
      </c>
      <c r="BF16" t="s">
        <v>31</v>
      </c>
      <c r="BV16">
        <f t="shared" si="4"/>
        <v>0</v>
      </c>
      <c r="BY16" t="s">
        <v>24</v>
      </c>
      <c r="CJ16">
        <v>14</v>
      </c>
      <c r="CP16">
        <f t="shared" si="5"/>
        <v>14</v>
      </c>
      <c r="CS16" t="s">
        <v>33</v>
      </c>
      <c r="DM16">
        <f t="shared" si="10"/>
        <v>0</v>
      </c>
      <c r="DP16" t="s">
        <v>23</v>
      </c>
      <c r="EM16">
        <f t="shared" si="6"/>
        <v>0</v>
      </c>
      <c r="EP16" t="s">
        <v>22</v>
      </c>
      <c r="FN16">
        <f t="shared" si="7"/>
        <v>0</v>
      </c>
      <c r="FQ16" t="s">
        <v>22</v>
      </c>
      <c r="GO16">
        <f t="shared" si="8"/>
        <v>0</v>
      </c>
      <c r="GR16" t="s">
        <v>33</v>
      </c>
      <c r="HL16">
        <f t="shared" si="0"/>
        <v>0</v>
      </c>
      <c r="HO16" t="s">
        <v>33</v>
      </c>
      <c r="II16">
        <f t="shared" si="11"/>
        <v>0</v>
      </c>
    </row>
    <row r="17" spans="2:243" ht="14.25" x14ac:dyDescent="0.45">
      <c r="B17" t="s">
        <v>28</v>
      </c>
      <c r="P17">
        <f t="shared" si="1"/>
        <v>0</v>
      </c>
      <c r="S17" t="s">
        <v>27</v>
      </c>
      <c r="AH17">
        <f t="shared" si="2"/>
        <v>0</v>
      </c>
      <c r="AK17" t="s">
        <v>26</v>
      </c>
      <c r="BB17">
        <f t="shared" si="3"/>
        <v>0</v>
      </c>
      <c r="BF17" t="s">
        <v>26</v>
      </c>
      <c r="BK17">
        <v>2</v>
      </c>
      <c r="BL17">
        <v>1</v>
      </c>
      <c r="BN17">
        <v>2</v>
      </c>
      <c r="BR17">
        <v>3</v>
      </c>
      <c r="BS17">
        <v>1</v>
      </c>
      <c r="BU17">
        <v>1</v>
      </c>
      <c r="BV17">
        <f t="shared" si="4"/>
        <v>10</v>
      </c>
      <c r="BY17" t="s">
        <v>31</v>
      </c>
      <c r="CP17">
        <f t="shared" si="5"/>
        <v>0</v>
      </c>
      <c r="CS17" t="s">
        <v>25</v>
      </c>
      <c r="CU17">
        <v>370</v>
      </c>
      <c r="CW17">
        <v>24</v>
      </c>
      <c r="CY17">
        <v>8</v>
      </c>
      <c r="CZ17">
        <v>135</v>
      </c>
      <c r="DA17">
        <v>30</v>
      </c>
      <c r="DB17">
        <v>6</v>
      </c>
      <c r="DD17">
        <v>1</v>
      </c>
      <c r="DE17">
        <v>3</v>
      </c>
      <c r="DF17">
        <v>154</v>
      </c>
      <c r="DG17">
        <v>4</v>
      </c>
      <c r="DH17">
        <v>1</v>
      </c>
      <c r="DI17">
        <v>36</v>
      </c>
      <c r="DK17">
        <v>6</v>
      </c>
      <c r="DL17">
        <v>507</v>
      </c>
      <c r="DM17">
        <f t="shared" si="10"/>
        <v>1285</v>
      </c>
      <c r="DP17" t="s">
        <v>35</v>
      </c>
      <c r="EM17">
        <f t="shared" si="6"/>
        <v>0</v>
      </c>
      <c r="EP17" t="s">
        <v>23</v>
      </c>
      <c r="FN17">
        <f t="shared" si="7"/>
        <v>0</v>
      </c>
      <c r="FQ17" t="s">
        <v>23</v>
      </c>
      <c r="GO17">
        <f t="shared" si="8"/>
        <v>0</v>
      </c>
      <c r="GR17" t="s">
        <v>25</v>
      </c>
      <c r="GU17">
        <v>64</v>
      </c>
      <c r="GW17">
        <v>1</v>
      </c>
      <c r="GX17">
        <v>1</v>
      </c>
      <c r="GY17">
        <v>9</v>
      </c>
      <c r="GZ17">
        <v>37</v>
      </c>
      <c r="HA17">
        <v>1</v>
      </c>
      <c r="HE17">
        <v>84</v>
      </c>
      <c r="HF17">
        <v>39</v>
      </c>
      <c r="HG17">
        <v>2</v>
      </c>
      <c r="HH17">
        <v>1</v>
      </c>
      <c r="HK17">
        <f>SUM(219+36+16)</f>
        <v>271</v>
      </c>
      <c r="HL17">
        <f t="shared" si="0"/>
        <v>510</v>
      </c>
      <c r="HO17" t="s">
        <v>25</v>
      </c>
      <c r="HQ17">
        <v>1</v>
      </c>
      <c r="HR17">
        <v>54</v>
      </c>
      <c r="HU17">
        <v>2</v>
      </c>
      <c r="HV17">
        <v>33</v>
      </c>
      <c r="HW17">
        <v>20</v>
      </c>
      <c r="IB17">
        <v>6</v>
      </c>
      <c r="IC17">
        <v>3</v>
      </c>
      <c r="ID17">
        <v>1</v>
      </c>
      <c r="IF17">
        <v>1</v>
      </c>
      <c r="IH17">
        <v>201</v>
      </c>
      <c r="II17">
        <f t="shared" si="11"/>
        <v>322</v>
      </c>
    </row>
    <row r="18" spans="2:243" ht="14.25" x14ac:dyDescent="0.45">
      <c r="B18" t="s">
        <v>29</v>
      </c>
      <c r="P18">
        <f t="shared" si="1"/>
        <v>0</v>
      </c>
      <c r="S18" t="s">
        <v>28</v>
      </c>
      <c r="AH18">
        <f t="shared" si="2"/>
        <v>0</v>
      </c>
      <c r="AK18" t="s">
        <v>27</v>
      </c>
      <c r="BB18">
        <f t="shared" si="3"/>
        <v>0</v>
      </c>
      <c r="BF18" t="s">
        <v>27</v>
      </c>
      <c r="BV18">
        <f t="shared" si="4"/>
        <v>0</v>
      </c>
      <c r="BY18" t="s">
        <v>26</v>
      </c>
      <c r="CL18">
        <v>11</v>
      </c>
      <c r="CM18">
        <v>1</v>
      </c>
      <c r="CP18">
        <f t="shared" si="5"/>
        <v>12</v>
      </c>
      <c r="CS18" t="s">
        <v>24</v>
      </c>
      <c r="DF18">
        <v>31</v>
      </c>
      <c r="DM18">
        <f t="shared" si="10"/>
        <v>31</v>
      </c>
      <c r="DP18" t="s">
        <v>33</v>
      </c>
      <c r="EC18">
        <v>2</v>
      </c>
      <c r="EF18">
        <v>1</v>
      </c>
      <c r="EM18">
        <f t="shared" si="6"/>
        <v>3</v>
      </c>
      <c r="EP18" t="s">
        <v>35</v>
      </c>
      <c r="FN18">
        <f t="shared" si="7"/>
        <v>0</v>
      </c>
      <c r="FQ18" t="s">
        <v>35</v>
      </c>
      <c r="GO18">
        <f t="shared" si="8"/>
        <v>0</v>
      </c>
      <c r="GR18" t="s">
        <v>24</v>
      </c>
      <c r="HE18">
        <v>3</v>
      </c>
      <c r="HL18">
        <f t="shared" si="0"/>
        <v>3</v>
      </c>
      <c r="HO18" t="s">
        <v>24</v>
      </c>
      <c r="IB18">
        <v>5</v>
      </c>
      <c r="II18">
        <f t="shared" si="11"/>
        <v>5</v>
      </c>
    </row>
    <row r="19" spans="2:243" ht="14.25" x14ac:dyDescent="0.45">
      <c r="S19" t="s">
        <v>29</v>
      </c>
      <c r="AH19">
        <f t="shared" si="2"/>
        <v>0</v>
      </c>
      <c r="AK19" t="s">
        <v>28</v>
      </c>
      <c r="BB19">
        <f t="shared" si="3"/>
        <v>0</v>
      </c>
      <c r="BF19" t="s">
        <v>28</v>
      </c>
      <c r="BV19">
        <f t="shared" si="4"/>
        <v>0</v>
      </c>
      <c r="BY19" t="s">
        <v>27</v>
      </c>
      <c r="CP19">
        <f t="shared" si="5"/>
        <v>0</v>
      </c>
      <c r="CS19" t="s">
        <v>31</v>
      </c>
      <c r="DM19">
        <f t="shared" si="10"/>
        <v>0</v>
      </c>
      <c r="DP19" t="s">
        <v>25</v>
      </c>
      <c r="DR19">
        <v>1</v>
      </c>
      <c r="DS19">
        <v>1</v>
      </c>
      <c r="DY19">
        <v>1</v>
      </c>
      <c r="DZ19">
        <v>13</v>
      </c>
      <c r="EA19">
        <v>1</v>
      </c>
      <c r="ED19">
        <v>12</v>
      </c>
      <c r="EE19">
        <v>1</v>
      </c>
      <c r="EF19">
        <v>1</v>
      </c>
      <c r="EH19">
        <v>9</v>
      </c>
      <c r="EK19">
        <v>24</v>
      </c>
      <c r="EM19">
        <f t="shared" si="6"/>
        <v>64</v>
      </c>
      <c r="EP19" t="s">
        <v>33</v>
      </c>
      <c r="FN19">
        <f t="shared" si="7"/>
        <v>0</v>
      </c>
      <c r="FQ19" t="s">
        <v>33</v>
      </c>
      <c r="GE19">
        <v>2</v>
      </c>
      <c r="GI19">
        <v>1</v>
      </c>
      <c r="GO19">
        <f t="shared" si="8"/>
        <v>3</v>
      </c>
      <c r="GR19" t="s">
        <v>31</v>
      </c>
      <c r="HL19">
        <f t="shared" si="0"/>
        <v>0</v>
      </c>
      <c r="HO19" t="s">
        <v>31</v>
      </c>
      <c r="II19">
        <f t="shared" si="11"/>
        <v>0</v>
      </c>
    </row>
    <row r="20" spans="2:243" ht="14.25" x14ac:dyDescent="0.45">
      <c r="AK20" t="s">
        <v>34</v>
      </c>
      <c r="BB20">
        <f t="shared" si="3"/>
        <v>0</v>
      </c>
      <c r="BF20" t="s">
        <v>29</v>
      </c>
      <c r="BV20">
        <f t="shared" si="4"/>
        <v>0</v>
      </c>
      <c r="BY20" t="s">
        <v>28</v>
      </c>
      <c r="CP20">
        <f t="shared" si="5"/>
        <v>0</v>
      </c>
      <c r="CS20" t="s">
        <v>26</v>
      </c>
      <c r="DH20">
        <v>9</v>
      </c>
      <c r="DL20">
        <v>1</v>
      </c>
      <c r="DM20">
        <f t="shared" si="10"/>
        <v>10</v>
      </c>
      <c r="DP20" t="s">
        <v>24</v>
      </c>
      <c r="EE20">
        <v>33</v>
      </c>
      <c r="EM20">
        <f t="shared" si="6"/>
        <v>33</v>
      </c>
      <c r="EP20" t="s">
        <v>25</v>
      </c>
      <c r="ES20">
        <v>2</v>
      </c>
      <c r="EU20">
        <v>1</v>
      </c>
      <c r="EZ20">
        <v>1</v>
      </c>
      <c r="FA20">
        <v>1</v>
      </c>
      <c r="FB20">
        <v>4</v>
      </c>
      <c r="FF20">
        <v>4</v>
      </c>
      <c r="FI20">
        <v>19</v>
      </c>
      <c r="FL20">
        <v>20</v>
      </c>
      <c r="FN20">
        <f t="shared" si="7"/>
        <v>52</v>
      </c>
      <c r="FQ20" t="s">
        <v>25</v>
      </c>
      <c r="FT20">
        <v>2</v>
      </c>
      <c r="FX20">
        <v>1</v>
      </c>
      <c r="GB20">
        <v>3</v>
      </c>
      <c r="GF20">
        <v>1</v>
      </c>
      <c r="GJ20">
        <v>1</v>
      </c>
      <c r="GK20">
        <v>1</v>
      </c>
      <c r="GL20">
        <v>1</v>
      </c>
      <c r="GN20">
        <v>8</v>
      </c>
      <c r="GO20">
        <f t="shared" si="8"/>
        <v>18</v>
      </c>
      <c r="GR20" t="s">
        <v>26</v>
      </c>
      <c r="HG20">
        <v>4</v>
      </c>
      <c r="HL20">
        <f t="shared" si="0"/>
        <v>4</v>
      </c>
      <c r="HO20" t="s">
        <v>26</v>
      </c>
      <c r="ID20">
        <v>1</v>
      </c>
      <c r="II20">
        <f t="shared" si="11"/>
        <v>1</v>
      </c>
    </row>
    <row r="21" spans="2:243" ht="14.25" x14ac:dyDescent="0.45">
      <c r="AK21" t="s">
        <v>29</v>
      </c>
      <c r="BB21">
        <f t="shared" si="3"/>
        <v>0</v>
      </c>
      <c r="BY21" t="s">
        <v>29</v>
      </c>
      <c r="CP21">
        <f t="shared" si="5"/>
        <v>0</v>
      </c>
      <c r="CS21" t="s">
        <v>27</v>
      </c>
      <c r="DM21">
        <f t="shared" si="10"/>
        <v>0</v>
      </c>
      <c r="DP21" t="s">
        <v>31</v>
      </c>
      <c r="DQ21">
        <v>1</v>
      </c>
      <c r="DW21">
        <v>1</v>
      </c>
      <c r="DY21">
        <v>3</v>
      </c>
      <c r="DZ21">
        <v>1</v>
      </c>
      <c r="EF21">
        <v>11</v>
      </c>
      <c r="EG21">
        <v>2</v>
      </c>
      <c r="EI21">
        <v>1</v>
      </c>
      <c r="EM21">
        <f t="shared" si="6"/>
        <v>20</v>
      </c>
      <c r="EP21" t="s">
        <v>24</v>
      </c>
      <c r="FF21">
        <v>1</v>
      </c>
      <c r="FN21">
        <f t="shared" si="7"/>
        <v>1</v>
      </c>
      <c r="FQ21" t="s">
        <v>24</v>
      </c>
      <c r="GG21">
        <v>19</v>
      </c>
      <c r="GN21">
        <v>1</v>
      </c>
      <c r="GO21">
        <f t="shared" si="8"/>
        <v>20</v>
      </c>
      <c r="GR21" t="s">
        <v>27</v>
      </c>
      <c r="HL21">
        <f t="shared" si="0"/>
        <v>0</v>
      </c>
      <c r="HO21" t="s">
        <v>27</v>
      </c>
      <c r="II21">
        <f t="shared" si="11"/>
        <v>0</v>
      </c>
    </row>
    <row r="22" spans="2:243" ht="14.25" x14ac:dyDescent="0.45">
      <c r="CS22" t="s">
        <v>28</v>
      </c>
      <c r="DM22">
        <f t="shared" si="10"/>
        <v>0</v>
      </c>
      <c r="DP22" t="s">
        <v>26</v>
      </c>
      <c r="EG22">
        <v>38</v>
      </c>
      <c r="EM22">
        <f t="shared" si="6"/>
        <v>38</v>
      </c>
      <c r="EP22" t="s">
        <v>31</v>
      </c>
      <c r="FG22">
        <v>7</v>
      </c>
      <c r="FN22">
        <f t="shared" si="7"/>
        <v>7</v>
      </c>
      <c r="FQ22" t="s">
        <v>31</v>
      </c>
      <c r="GH22">
        <v>3</v>
      </c>
      <c r="GI22">
        <v>7</v>
      </c>
      <c r="GO22">
        <f t="shared" si="8"/>
        <v>10</v>
      </c>
      <c r="GR22" t="s">
        <v>28</v>
      </c>
      <c r="HL22">
        <f t="shared" si="0"/>
        <v>0</v>
      </c>
      <c r="HO22" t="s">
        <v>28</v>
      </c>
      <c r="II22">
        <f t="shared" si="11"/>
        <v>0</v>
      </c>
    </row>
    <row r="23" spans="2:243" ht="14.25" x14ac:dyDescent="0.45">
      <c r="CS23" t="s">
        <v>34</v>
      </c>
      <c r="DM23">
        <f t="shared" si="10"/>
        <v>0</v>
      </c>
      <c r="DP23" t="s">
        <v>27</v>
      </c>
      <c r="EM23">
        <f t="shared" si="6"/>
        <v>0</v>
      </c>
      <c r="EP23" t="s">
        <v>26</v>
      </c>
      <c r="EZ23">
        <v>3</v>
      </c>
      <c r="FA23">
        <v>2</v>
      </c>
      <c r="FG23">
        <v>1</v>
      </c>
      <c r="FH23">
        <v>88</v>
      </c>
      <c r="FL23">
        <v>3</v>
      </c>
      <c r="FM23">
        <v>1</v>
      </c>
      <c r="FN23">
        <f t="shared" si="7"/>
        <v>98</v>
      </c>
      <c r="FQ23" t="s">
        <v>26</v>
      </c>
      <c r="GF23">
        <v>1</v>
      </c>
      <c r="GI23">
        <v>11</v>
      </c>
      <c r="GO23">
        <f t="shared" si="8"/>
        <v>12</v>
      </c>
      <c r="GR23" t="s">
        <v>34</v>
      </c>
      <c r="HL23">
        <f t="shared" si="0"/>
        <v>0</v>
      </c>
      <c r="HO23" t="s">
        <v>34</v>
      </c>
      <c r="II23">
        <f t="shared" si="11"/>
        <v>0</v>
      </c>
    </row>
    <row r="24" spans="2:243" ht="14.25" x14ac:dyDescent="0.45">
      <c r="CS24" t="s">
        <v>29</v>
      </c>
      <c r="DM24">
        <f t="shared" si="10"/>
        <v>0</v>
      </c>
      <c r="DP24" t="s">
        <v>28</v>
      </c>
      <c r="EM24">
        <f t="shared" si="6"/>
        <v>0</v>
      </c>
      <c r="EP24" t="s">
        <v>27</v>
      </c>
      <c r="FN24">
        <f t="shared" si="7"/>
        <v>0</v>
      </c>
      <c r="FQ24" t="s">
        <v>43</v>
      </c>
      <c r="GO24">
        <f t="shared" si="8"/>
        <v>0</v>
      </c>
      <c r="GR24" t="s">
        <v>29</v>
      </c>
      <c r="HK24">
        <v>1</v>
      </c>
      <c r="HL24">
        <f t="shared" si="0"/>
        <v>1</v>
      </c>
      <c r="HO24" t="s">
        <v>29</v>
      </c>
      <c r="HW24">
        <v>2</v>
      </c>
      <c r="ID24">
        <v>2</v>
      </c>
      <c r="IH24">
        <v>3</v>
      </c>
      <c r="II24">
        <f t="shared" si="11"/>
        <v>7</v>
      </c>
    </row>
    <row r="25" spans="2:243" ht="14.25" x14ac:dyDescent="0.45">
      <c r="DP25" t="s">
        <v>34</v>
      </c>
      <c r="EM25">
        <f t="shared" si="6"/>
        <v>0</v>
      </c>
      <c r="EP25" t="s">
        <v>28</v>
      </c>
      <c r="FN25">
        <f t="shared" si="7"/>
        <v>0</v>
      </c>
      <c r="FQ25" t="s">
        <v>27</v>
      </c>
      <c r="GO25">
        <f t="shared" si="8"/>
        <v>0</v>
      </c>
    </row>
    <row r="26" spans="2:243" ht="14.25" x14ac:dyDescent="0.45">
      <c r="DP26" t="s">
        <v>29</v>
      </c>
      <c r="EM26">
        <f t="shared" si="6"/>
        <v>0</v>
      </c>
      <c r="EP26" t="s">
        <v>34</v>
      </c>
      <c r="FN26">
        <f t="shared" si="7"/>
        <v>0</v>
      </c>
      <c r="FQ26" t="s">
        <v>28</v>
      </c>
      <c r="GO26">
        <f t="shared" si="8"/>
        <v>0</v>
      </c>
    </row>
    <row r="27" spans="2:243" ht="15" customHeight="1" x14ac:dyDescent="0.45">
      <c r="DP27" t="s">
        <v>41</v>
      </c>
      <c r="ED27">
        <v>5</v>
      </c>
      <c r="EM27">
        <f t="shared" si="6"/>
        <v>5</v>
      </c>
      <c r="EP27" t="s">
        <v>29</v>
      </c>
      <c r="FN27">
        <f t="shared" si="7"/>
        <v>0</v>
      </c>
      <c r="FQ27" t="s">
        <v>34</v>
      </c>
      <c r="GO27">
        <f t="shared" si="8"/>
        <v>0</v>
      </c>
    </row>
    <row r="28" spans="2:243" ht="15" customHeight="1" x14ac:dyDescent="0.45">
      <c r="EP28" t="s">
        <v>42</v>
      </c>
      <c r="FN28">
        <f t="shared" si="7"/>
        <v>0</v>
      </c>
      <c r="FQ28" t="s">
        <v>29</v>
      </c>
      <c r="GO28">
        <f t="shared" si="8"/>
        <v>0</v>
      </c>
    </row>
  </sheetData>
  <mergeCells count="11">
    <mergeCell ref="HQ4:HR4"/>
    <mergeCell ref="GT4:GU4"/>
    <mergeCell ref="DR4:DS4"/>
    <mergeCell ref="ER4:ES4"/>
    <mergeCell ref="CV4:CW4"/>
    <mergeCell ref="D4:G4"/>
    <mergeCell ref="A6:A7"/>
    <mergeCell ref="U4:V4"/>
    <mergeCell ref="BI4:BJ4"/>
    <mergeCell ref="CB4:CD4"/>
    <mergeCell ref="AM4:AN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"/>
  <sheetViews>
    <sheetView workbookViewId="0">
      <selection activeCell="F15" sqref="F15"/>
    </sheetView>
  </sheetViews>
  <sheetFormatPr defaultRowHeight="14.25" x14ac:dyDescent="0.45"/>
  <cols>
    <col min="15" max="15" width="10.59765625" bestFit="1" customWidth="1"/>
    <col min="17" max="17" width="10.59765625" bestFit="1" customWidth="1"/>
    <col min="19" max="19" width="10.59765625" bestFit="1" customWidth="1"/>
    <col min="21" max="21" width="10.59765625" bestFit="1" customWidth="1"/>
  </cols>
  <sheetData>
    <row r="1" spans="1:22" x14ac:dyDescent="0.45">
      <c r="A1" t="s">
        <v>44</v>
      </c>
    </row>
    <row r="3" spans="1:22" x14ac:dyDescent="0.45">
      <c r="A3" t="s">
        <v>1</v>
      </c>
      <c r="C3" t="s">
        <v>2</v>
      </c>
      <c r="E3" t="s">
        <v>3</v>
      </c>
      <c r="G3" t="s">
        <v>4</v>
      </c>
      <c r="I3" t="s">
        <v>5</v>
      </c>
      <c r="K3" t="s">
        <v>6</v>
      </c>
      <c r="M3" t="s">
        <v>7</v>
      </c>
      <c r="O3" t="s">
        <v>8</v>
      </c>
      <c r="Q3" t="s">
        <v>9</v>
      </c>
      <c r="S3" t="s">
        <v>10</v>
      </c>
      <c r="U3" t="s">
        <v>11</v>
      </c>
    </row>
    <row r="4" spans="1:22" x14ac:dyDescent="0.45">
      <c r="A4" t="s">
        <v>78</v>
      </c>
      <c r="C4" t="s">
        <v>79</v>
      </c>
      <c r="E4" t="s">
        <v>80</v>
      </c>
      <c r="G4" s="3" t="s">
        <v>81</v>
      </c>
      <c r="I4" t="s">
        <v>82</v>
      </c>
      <c r="K4" s="2" t="s">
        <v>83</v>
      </c>
      <c r="M4" t="s">
        <v>84</v>
      </c>
      <c r="O4" t="s">
        <v>85</v>
      </c>
      <c r="Q4" t="s">
        <v>86</v>
      </c>
      <c r="S4" t="s">
        <v>87</v>
      </c>
      <c r="U4" t="s">
        <v>88</v>
      </c>
      <c r="V4" t="s">
        <v>89</v>
      </c>
    </row>
    <row r="5" spans="1:22" x14ac:dyDescent="0.45">
      <c r="C5" t="s">
        <v>90</v>
      </c>
      <c r="E5" t="s">
        <v>91</v>
      </c>
      <c r="G5" s="4" t="s">
        <v>92</v>
      </c>
      <c r="I5" t="s">
        <v>93</v>
      </c>
      <c r="K5" s="2" t="s">
        <v>94</v>
      </c>
      <c r="M5" t="s">
        <v>95</v>
      </c>
      <c r="O5" t="s">
        <v>96</v>
      </c>
      <c r="Q5" t="s">
        <v>97</v>
      </c>
      <c r="S5" t="s">
        <v>98</v>
      </c>
      <c r="U5" t="s">
        <v>99</v>
      </c>
      <c r="V5" t="s">
        <v>100</v>
      </c>
    </row>
    <row r="6" spans="1:22" x14ac:dyDescent="0.45">
      <c r="E6" t="s">
        <v>101</v>
      </c>
      <c r="I6" t="s">
        <v>93</v>
      </c>
      <c r="K6" s="2" t="s">
        <v>102</v>
      </c>
      <c r="M6" t="s">
        <v>103</v>
      </c>
      <c r="O6" t="s">
        <v>104</v>
      </c>
      <c r="Q6" t="s">
        <v>105</v>
      </c>
      <c r="S6" t="s">
        <v>106</v>
      </c>
      <c r="T6" t="s">
        <v>17</v>
      </c>
      <c r="U6" t="s">
        <v>107</v>
      </c>
      <c r="V6" t="s">
        <v>108</v>
      </c>
    </row>
    <row r="7" spans="1:22" x14ac:dyDescent="0.45">
      <c r="I7" t="s">
        <v>109</v>
      </c>
      <c r="K7" s="2" t="s">
        <v>110</v>
      </c>
      <c r="M7" t="s">
        <v>111</v>
      </c>
      <c r="O7" t="s">
        <v>112</v>
      </c>
      <c r="Q7" t="s">
        <v>105</v>
      </c>
      <c r="S7" t="s">
        <v>113</v>
      </c>
      <c r="U7" t="s">
        <v>114</v>
      </c>
      <c r="V7" t="s">
        <v>115</v>
      </c>
    </row>
    <row r="8" spans="1:22" x14ac:dyDescent="0.45">
      <c r="K8" s="2" t="s">
        <v>116</v>
      </c>
      <c r="M8" t="s">
        <v>117</v>
      </c>
      <c r="O8" t="s">
        <v>118</v>
      </c>
      <c r="Q8" t="s">
        <v>119</v>
      </c>
      <c r="S8" t="s">
        <v>120</v>
      </c>
      <c r="U8" t="s">
        <v>121</v>
      </c>
      <c r="V8" t="s">
        <v>122</v>
      </c>
    </row>
    <row r="9" spans="1:22" x14ac:dyDescent="0.45">
      <c r="K9" s="2" t="s">
        <v>123</v>
      </c>
      <c r="M9" t="s">
        <v>124</v>
      </c>
      <c r="O9" t="s">
        <v>125</v>
      </c>
      <c r="S9" t="s">
        <v>126</v>
      </c>
      <c r="U9" t="s">
        <v>127</v>
      </c>
      <c r="V9" t="s">
        <v>128</v>
      </c>
    </row>
    <row r="10" spans="1:22" x14ac:dyDescent="0.45">
      <c r="K10" s="2" t="s">
        <v>129</v>
      </c>
      <c r="M10" t="s">
        <v>98</v>
      </c>
      <c r="U10" t="s">
        <v>130</v>
      </c>
    </row>
    <row r="11" spans="1:22" x14ac:dyDescent="0.45">
      <c r="M11" t="s">
        <v>131</v>
      </c>
      <c r="U11" t="s">
        <v>132</v>
      </c>
    </row>
    <row r="12" spans="1:22" x14ac:dyDescent="0.45">
      <c r="K12" s="1">
        <f>SUM(K4:K10)</f>
        <v>0</v>
      </c>
      <c r="M12" t="s">
        <v>133</v>
      </c>
      <c r="U12" t="s">
        <v>134</v>
      </c>
    </row>
    <row r="13" spans="1:22" x14ac:dyDescent="0.45">
      <c r="M13" t="s">
        <v>135</v>
      </c>
      <c r="U13" t="s">
        <v>136</v>
      </c>
    </row>
  </sheetData>
  <pageMargins left="0.7" right="0.7" top="0.75" bottom="0.75" header="0.3" footer="0.3"/>
  <pageSetup paperSize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EA221-C17F-4F8A-8EAF-017B7D6AF67B}">
  <dimension ref="A1:JA37"/>
  <sheetViews>
    <sheetView topLeftCell="K1" zoomScale="80" zoomScaleNormal="80" workbookViewId="0">
      <selection activeCell="AH20" sqref="AH20"/>
    </sheetView>
  </sheetViews>
  <sheetFormatPr defaultRowHeight="15" customHeight="1" x14ac:dyDescent="0.45"/>
  <cols>
    <col min="1" max="1" width="5.73046875" bestFit="1" customWidth="1"/>
    <col min="2" max="2" width="13.86328125" bestFit="1" customWidth="1"/>
    <col min="3" max="3" width="6.1328125" bestFit="1" customWidth="1"/>
    <col min="4" max="4" width="4" bestFit="1" customWidth="1"/>
    <col min="5" max="5" width="4.3984375" bestFit="1" customWidth="1"/>
    <col min="6" max="6" width="6.265625" bestFit="1" customWidth="1"/>
    <col min="7" max="7" width="5.73046875" bestFit="1" customWidth="1"/>
    <col min="8" max="8" width="6.1328125" bestFit="1" customWidth="1"/>
    <col min="9" max="9" width="4.3984375" bestFit="1" customWidth="1"/>
    <col min="10" max="10" width="3.86328125" bestFit="1" customWidth="1"/>
    <col min="11" max="11" width="6" bestFit="1" customWidth="1"/>
    <col min="12" max="12" width="11.1328125" bestFit="1" customWidth="1"/>
    <col min="13" max="13" width="7.265625" bestFit="1" customWidth="1"/>
    <col min="14" max="14" width="6.3984375" bestFit="1" customWidth="1"/>
    <col min="15" max="15" width="5.265625" bestFit="1" customWidth="1"/>
    <col min="16" max="16" width="10.59765625" bestFit="1" customWidth="1"/>
    <col min="17" max="17" width="4.73046875" bestFit="1" customWidth="1"/>
    <col min="18" max="18" width="8" customWidth="1"/>
    <col min="19" max="19" width="5.73046875" bestFit="1" customWidth="1"/>
    <col min="20" max="20" width="12.3984375" bestFit="1" customWidth="1"/>
    <col min="21" max="21" width="4" bestFit="1" customWidth="1"/>
    <col min="22" max="22" width="4.3984375" bestFit="1" customWidth="1"/>
    <col min="23" max="23" width="6.265625" bestFit="1" customWidth="1"/>
    <col min="24" max="24" width="5.73046875" bestFit="1" customWidth="1"/>
    <col min="25" max="25" width="6.1328125" bestFit="1" customWidth="1"/>
    <col min="26" max="26" width="4.3984375" bestFit="1" customWidth="1"/>
    <col min="27" max="27" width="3.86328125" bestFit="1" customWidth="1"/>
    <col min="28" max="28" width="11.1328125" bestFit="1" customWidth="1"/>
    <col min="29" max="29" width="6.1328125" bestFit="1" customWidth="1"/>
    <col min="30" max="30" width="6" bestFit="1" customWidth="1"/>
    <col min="31" max="31" width="7.265625" bestFit="1" customWidth="1"/>
    <col min="32" max="32" width="6.59765625" bestFit="1" customWidth="1"/>
    <col min="33" max="33" width="5.265625" bestFit="1" customWidth="1"/>
    <col min="34" max="34" width="10.73046875" bestFit="1" customWidth="1"/>
    <col min="35" max="35" width="8.3984375" bestFit="1" customWidth="1"/>
    <col min="36" max="36" width="4.86328125" bestFit="1" customWidth="1"/>
    <col min="37" max="37" width="4.86328125" customWidth="1"/>
    <col min="38" max="38" width="5.73046875" bestFit="1" customWidth="1"/>
    <col min="39" max="39" width="12.3984375" bestFit="1" customWidth="1"/>
    <col min="40" max="40" width="4" bestFit="1" customWidth="1"/>
    <col min="41" max="41" width="4.3984375" bestFit="1" customWidth="1"/>
    <col min="42" max="42" width="6.265625" bestFit="1" customWidth="1"/>
    <col min="43" max="43" width="5.73046875" bestFit="1" customWidth="1"/>
    <col min="44" max="44" width="6.1328125" bestFit="1" customWidth="1"/>
    <col min="45" max="45" width="4.3984375" bestFit="1" customWidth="1"/>
    <col min="46" max="46" width="3.86328125" bestFit="1" customWidth="1"/>
    <col min="47" max="47" width="8" bestFit="1" customWidth="1"/>
    <col min="48" max="48" width="11.1328125" bestFit="1" customWidth="1"/>
    <col min="49" max="49" width="6" bestFit="1" customWidth="1"/>
    <col min="50" max="50" width="5.86328125" bestFit="1" customWidth="1"/>
    <col min="51" max="51" width="7.265625" bestFit="1" customWidth="1"/>
    <col min="52" max="52" width="6.3984375" bestFit="1" customWidth="1"/>
    <col min="53" max="53" width="5.265625" bestFit="1" customWidth="1"/>
    <col min="54" max="54" width="6.86328125" bestFit="1" customWidth="1"/>
    <col min="55" max="55" width="10.59765625" bestFit="1" customWidth="1"/>
    <col min="56" max="57" width="9.265625" customWidth="1"/>
    <col min="60" max="60" width="14.265625" bestFit="1" customWidth="1"/>
    <col min="61" max="61" width="7.1328125" bestFit="1" customWidth="1"/>
    <col min="62" max="62" width="4.73046875" bestFit="1" customWidth="1"/>
    <col min="63" max="63" width="5.1328125" bestFit="1" customWidth="1"/>
    <col min="64" max="64" width="7.265625" bestFit="1" customWidth="1"/>
    <col min="65" max="65" width="6.73046875" bestFit="1" customWidth="1"/>
    <col min="66" max="67" width="6.73046875" customWidth="1"/>
    <col min="68" max="68" width="7.265625" bestFit="1" customWidth="1"/>
    <col min="69" max="69" width="5.265625" bestFit="1" customWidth="1"/>
    <col min="70" max="70" width="4.59765625" bestFit="1" customWidth="1"/>
    <col min="71" max="71" width="4.1328125" bestFit="1" customWidth="1"/>
    <col min="72" max="72" width="9.59765625" bestFit="1" customWidth="1"/>
    <col min="73" max="73" width="12.86328125" bestFit="1" customWidth="1"/>
    <col min="74" max="74" width="7.1328125" bestFit="1" customWidth="1"/>
    <col min="75" max="75" width="6.86328125" bestFit="1" customWidth="1"/>
    <col min="76" max="76" width="8.59765625" bestFit="1" customWidth="1"/>
    <col min="77" max="77" width="7.3984375" bestFit="1" customWidth="1"/>
    <col min="78" max="78" width="6.265625" bestFit="1" customWidth="1"/>
    <col min="79" max="79" width="7.86328125" bestFit="1" customWidth="1"/>
    <col min="80" max="80" width="12" bestFit="1" customWidth="1"/>
    <col min="81" max="81" width="7.59765625" bestFit="1" customWidth="1"/>
    <col min="82" max="82" width="6" bestFit="1" customWidth="1"/>
    <col min="83" max="83" width="10.73046875" customWidth="1"/>
    <col min="85" max="85" width="14.265625" bestFit="1" customWidth="1"/>
    <col min="86" max="86" width="9.59765625" bestFit="1" customWidth="1"/>
    <col min="87" max="87" width="7.73046875" bestFit="1" customWidth="1"/>
    <col min="88" max="88" width="4.73046875" bestFit="1" customWidth="1"/>
    <col min="89" max="89" width="5.1328125" bestFit="1" customWidth="1"/>
    <col min="90" max="90" width="7.265625" bestFit="1" customWidth="1"/>
    <col min="91" max="91" width="4" bestFit="1" customWidth="1"/>
    <col min="92" max="92" width="6.73046875" bestFit="1" customWidth="1"/>
    <col min="93" max="93" width="7.265625" bestFit="1" customWidth="1"/>
    <col min="94" max="94" width="5.265625" bestFit="1" customWidth="1"/>
    <col min="95" max="95" width="4.59765625" bestFit="1" customWidth="1"/>
    <col min="96" max="96" width="4.1328125" bestFit="1" customWidth="1"/>
    <col min="97" max="97" width="9.265625" bestFit="1" customWidth="1"/>
    <col min="98" max="98" width="12.86328125" bestFit="1" customWidth="1"/>
    <col min="99" max="99" width="7.1328125" bestFit="1" customWidth="1"/>
    <col min="100" max="100" width="6.86328125" bestFit="1" customWidth="1"/>
    <col min="101" max="101" width="8.59765625" bestFit="1" customWidth="1"/>
    <col min="102" max="102" width="7.3984375" bestFit="1" customWidth="1"/>
    <col min="103" max="103" width="6.265625" bestFit="1" customWidth="1"/>
    <col min="104" max="104" width="12" bestFit="1" customWidth="1"/>
    <col min="105" max="105" width="5.59765625" bestFit="1" customWidth="1"/>
    <col min="110" max="110" width="12.3984375" bestFit="1" customWidth="1"/>
    <col min="111" max="111" width="6.59765625" bestFit="1" customWidth="1"/>
    <col min="112" max="113" width="4.3984375" bestFit="1" customWidth="1"/>
    <col min="114" max="114" width="6.265625" bestFit="1" customWidth="1"/>
    <col min="115" max="115" width="3.265625" bestFit="1" customWidth="1"/>
    <col min="116" max="116" width="5.73046875" bestFit="1" customWidth="1"/>
    <col min="117" max="117" width="6.1328125" bestFit="1" customWidth="1"/>
    <col min="118" max="118" width="4.3984375" bestFit="1" customWidth="1"/>
    <col min="119" max="119" width="3.86328125" bestFit="1" customWidth="1"/>
    <col min="120" max="120" width="3.3984375" bestFit="1" customWidth="1"/>
    <col min="121" max="121" width="8" bestFit="1" customWidth="1"/>
    <col min="122" max="122" width="11.1328125" bestFit="1" customWidth="1"/>
    <col min="123" max="123" width="6" bestFit="1" customWidth="1"/>
    <col min="124" max="124" width="5.86328125" bestFit="1" customWidth="1"/>
    <col min="125" max="125" width="7.265625" bestFit="1" customWidth="1"/>
    <col min="126" max="126" width="6.3984375" bestFit="1" customWidth="1"/>
    <col min="127" max="127" width="5.265625" bestFit="1" customWidth="1"/>
    <col min="128" max="128" width="6.86328125" bestFit="1" customWidth="1"/>
    <col min="129" max="129" width="10.59765625" bestFit="1" customWidth="1"/>
    <col min="130" max="130" width="5" bestFit="1" customWidth="1"/>
    <col min="131" max="131" width="6.3984375" customWidth="1"/>
    <col min="132" max="132" width="6" bestFit="1" customWidth="1"/>
    <col min="133" max="133" width="13" bestFit="1" customWidth="1"/>
    <col min="134" max="134" width="13" customWidth="1"/>
    <col min="135" max="135" width="7.73046875" bestFit="1" customWidth="1"/>
    <col min="136" max="136" width="4.73046875" bestFit="1" customWidth="1"/>
    <col min="137" max="137" width="5.3984375" bestFit="1" customWidth="1"/>
    <col min="138" max="138" width="7.265625" bestFit="1" customWidth="1"/>
    <col min="139" max="139" width="4" bestFit="1" customWidth="1"/>
    <col min="140" max="140" width="6.73046875" bestFit="1" customWidth="1"/>
    <col min="141" max="141" width="7.265625" bestFit="1" customWidth="1"/>
    <col min="142" max="142" width="5" bestFit="1" customWidth="1"/>
    <col min="143" max="143" width="7.265625" bestFit="1" customWidth="1"/>
    <col min="144" max="144" width="5.265625" bestFit="1" customWidth="1"/>
    <col min="145" max="145" width="4.59765625" bestFit="1" customWidth="1"/>
    <col min="146" max="146" width="4.1328125" bestFit="1" customWidth="1"/>
    <col min="147" max="147" width="9.265625" bestFit="1" customWidth="1"/>
    <col min="148" max="148" width="12.86328125" bestFit="1" customWidth="1"/>
    <col min="149" max="149" width="7.1328125" bestFit="1" customWidth="1"/>
    <col min="150" max="150" width="6.86328125" bestFit="1" customWidth="1"/>
    <col min="151" max="151" width="8.59765625" bestFit="1" customWidth="1"/>
    <col min="152" max="153" width="8.59765625" customWidth="1"/>
    <col min="154" max="154" width="7.3984375" bestFit="1" customWidth="1"/>
    <col min="155" max="155" width="6.265625" bestFit="1" customWidth="1"/>
    <col min="156" max="156" width="7.86328125" bestFit="1" customWidth="1"/>
    <col min="157" max="157" width="12" bestFit="1" customWidth="1"/>
    <col min="158" max="158" width="7.59765625" bestFit="1" customWidth="1"/>
    <col min="162" max="162" width="14.265625" bestFit="1" customWidth="1"/>
    <col min="163" max="163" width="9.59765625" bestFit="1" customWidth="1"/>
    <col min="164" max="164" width="7.73046875" bestFit="1" customWidth="1"/>
    <col min="165" max="165" width="4.73046875" bestFit="1" customWidth="1"/>
    <col min="166" max="166" width="5.1328125" bestFit="1" customWidth="1"/>
    <col min="167" max="167" width="7.265625" bestFit="1" customWidth="1"/>
    <col min="168" max="168" width="4" bestFit="1" customWidth="1"/>
    <col min="169" max="169" width="6.73046875" bestFit="1" customWidth="1"/>
    <col min="170" max="170" width="7.265625" bestFit="1" customWidth="1"/>
    <col min="171" max="171" width="5" bestFit="1" customWidth="1"/>
    <col min="172" max="172" width="7.265625" bestFit="1" customWidth="1"/>
    <col min="173" max="173" width="5.265625" bestFit="1" customWidth="1"/>
    <col min="174" max="174" width="4.59765625" bestFit="1" customWidth="1"/>
    <col min="175" max="175" width="4.1328125" bestFit="1" customWidth="1"/>
    <col min="176" max="176" width="9.265625" bestFit="1" customWidth="1"/>
    <col min="177" max="177" width="12.86328125" bestFit="1" customWidth="1"/>
    <col min="178" max="178" width="7.1328125" bestFit="1" customWidth="1"/>
    <col min="179" max="179" width="6.86328125" bestFit="1" customWidth="1"/>
    <col min="180" max="180" width="8.59765625" bestFit="1" customWidth="1"/>
    <col min="181" max="181" width="8.59765625" customWidth="1"/>
    <col min="182" max="182" width="7.3984375" bestFit="1" customWidth="1"/>
    <col min="183" max="183" width="6.265625" bestFit="1" customWidth="1"/>
    <col min="184" max="184" width="7.86328125" bestFit="1" customWidth="1"/>
    <col min="185" max="185" width="12" bestFit="1" customWidth="1"/>
    <col min="186" max="186" width="7.59765625" bestFit="1" customWidth="1"/>
    <col min="187" max="187" width="5.59765625" bestFit="1" customWidth="1"/>
    <col min="190" max="190" width="13" bestFit="1" customWidth="1"/>
    <col min="191" max="191" width="8.73046875" bestFit="1" customWidth="1"/>
    <col min="192" max="192" width="6.73046875" bestFit="1" customWidth="1"/>
    <col min="193" max="193" width="4" bestFit="1" customWidth="1"/>
    <col min="194" max="194" width="4.59765625" bestFit="1" customWidth="1"/>
    <col min="195" max="195" width="6.3984375" bestFit="1" customWidth="1"/>
    <col min="196" max="196" width="3.3984375" bestFit="1" customWidth="1"/>
    <col min="197" max="197" width="6" bestFit="1" customWidth="1"/>
    <col min="198" max="198" width="6.59765625" bestFit="1" customWidth="1"/>
    <col min="199" max="199" width="4.265625" bestFit="1" customWidth="1"/>
    <col min="200" max="200" width="6.59765625" bestFit="1" customWidth="1"/>
    <col min="201" max="201" width="4.73046875" bestFit="1" customWidth="1"/>
    <col min="202" max="202" width="4" bestFit="1" customWidth="1"/>
    <col min="203" max="203" width="3.73046875" bestFit="1" customWidth="1"/>
    <col min="204" max="204" width="8.3984375" bestFit="1" customWidth="1"/>
    <col min="205" max="205" width="11.59765625" bestFit="1" customWidth="1"/>
    <col min="206" max="206" width="6.265625" bestFit="1" customWidth="1"/>
    <col min="207" max="207" width="6" bestFit="1" customWidth="1"/>
    <col min="208" max="208" width="7.73046875" bestFit="1" customWidth="1"/>
    <col min="209" max="209" width="6.3984375" bestFit="1" customWidth="1"/>
    <col min="210" max="210" width="6.73046875" bestFit="1" customWidth="1"/>
    <col min="211" max="211" width="5.86328125" bestFit="1" customWidth="1"/>
    <col min="212" max="212" width="7.1328125" bestFit="1" customWidth="1"/>
    <col min="213" max="213" width="10.86328125" bestFit="1" customWidth="1"/>
    <col min="217" max="217" width="14.86328125" bestFit="1" customWidth="1"/>
    <col min="218" max="218" width="9.59765625" customWidth="1"/>
    <col min="219" max="219" width="7.73046875" customWidth="1"/>
    <col min="220" max="220" width="4.73046875" customWidth="1"/>
    <col min="221" max="221" width="5.1328125" customWidth="1"/>
    <col min="222" max="222" width="7.265625" customWidth="1"/>
    <col min="223" max="223" width="6.73046875" customWidth="1"/>
    <col min="224" max="224" width="6.265625" bestFit="1" customWidth="1"/>
    <col min="225" max="225" width="7.265625" customWidth="1"/>
    <col min="226" max="226" width="5.265625" customWidth="1"/>
    <col min="227" max="227" width="4.59765625" customWidth="1"/>
    <col min="228" max="228" width="4.1328125" customWidth="1"/>
    <col min="229" max="229" width="9.265625" customWidth="1"/>
    <col min="230" max="230" width="12.86328125" customWidth="1"/>
    <col min="231" max="231" width="7.1328125" customWidth="1"/>
    <col min="232" max="232" width="6.86328125" customWidth="1"/>
    <col min="233" max="233" width="8.59765625" customWidth="1"/>
    <col min="234" max="234" width="7.3984375" customWidth="1"/>
    <col min="235" max="235" width="6.265625" customWidth="1"/>
    <col min="236" max="236" width="7.86328125" customWidth="1"/>
    <col min="237" max="237" width="12" customWidth="1"/>
    <col min="238" max="238" width="5.59765625" customWidth="1"/>
    <col min="239" max="240" width="10.59765625" customWidth="1"/>
    <col min="241" max="241" width="14.265625" bestFit="1" customWidth="1"/>
    <col min="242" max="242" width="9.59765625" bestFit="1" customWidth="1"/>
    <col min="243" max="243" width="7.73046875" bestFit="1" customWidth="1"/>
    <col min="244" max="244" width="4.73046875" bestFit="1" customWidth="1"/>
    <col min="245" max="245" width="5.1328125" bestFit="1" customWidth="1"/>
    <col min="246" max="246" width="7.265625" bestFit="1" customWidth="1"/>
    <col min="247" max="247" width="6.73046875" bestFit="1" customWidth="1"/>
    <col min="248" max="248" width="7.265625" bestFit="1" customWidth="1"/>
    <col min="249" max="249" width="5.265625" bestFit="1" customWidth="1"/>
    <col min="250" max="250" width="4.59765625" bestFit="1" customWidth="1"/>
    <col min="251" max="251" width="4.1328125" bestFit="1" customWidth="1"/>
    <col min="252" max="252" width="9.265625" bestFit="1" customWidth="1"/>
    <col min="253" max="253" width="12.86328125" bestFit="1" customWidth="1"/>
    <col min="254" max="254" width="7.1328125" bestFit="1" customWidth="1"/>
    <col min="255" max="255" width="6.86328125" bestFit="1" customWidth="1"/>
    <col min="256" max="256" width="8.59765625" bestFit="1" customWidth="1"/>
    <col min="257" max="257" width="7" bestFit="1" customWidth="1"/>
    <col min="258" max="258" width="7.265625" bestFit="1" customWidth="1"/>
    <col min="259" max="259" width="7.3984375" bestFit="1" customWidth="1"/>
    <col min="260" max="260" width="12" bestFit="1" customWidth="1"/>
    <col min="261" max="261" width="5.59765625" bestFit="1" customWidth="1"/>
  </cols>
  <sheetData>
    <row r="1" spans="1:261" ht="14.25" x14ac:dyDescent="0.45">
      <c r="B1" t="s">
        <v>0</v>
      </c>
    </row>
    <row r="3" spans="1:261" ht="14.25" x14ac:dyDescent="0.45">
      <c r="B3" t="s">
        <v>1</v>
      </c>
      <c r="T3" t="s">
        <v>2</v>
      </c>
      <c r="AM3" t="s">
        <v>3</v>
      </c>
      <c r="BH3" t="s">
        <v>4</v>
      </c>
      <c r="CG3" t="s">
        <v>5</v>
      </c>
      <c r="DF3" t="s">
        <v>6</v>
      </c>
      <c r="EC3" t="s">
        <v>7</v>
      </c>
      <c r="FF3" t="s">
        <v>8</v>
      </c>
      <c r="GH3" t="s">
        <v>9</v>
      </c>
      <c r="HI3" t="s">
        <v>10</v>
      </c>
      <c r="IG3" t="s">
        <v>11</v>
      </c>
    </row>
    <row r="4" spans="1:261" ht="14.25" customHeight="1" x14ac:dyDescent="0.45">
      <c r="E4" s="6" t="s">
        <v>13</v>
      </c>
      <c r="F4" s="6"/>
      <c r="G4" s="6"/>
      <c r="H4" s="6"/>
      <c r="V4" s="6" t="s">
        <v>14</v>
      </c>
      <c r="W4" s="6"/>
      <c r="AO4" s="6" t="s">
        <v>14</v>
      </c>
      <c r="AP4" s="6"/>
      <c r="BL4" s="6" t="s">
        <v>14</v>
      </c>
      <c r="BM4" s="6"/>
      <c r="BN4" s="5"/>
      <c r="BO4" s="5"/>
      <c r="CL4" s="6" t="s">
        <v>13</v>
      </c>
      <c r="CM4" s="6"/>
      <c r="CN4" s="6"/>
      <c r="DI4" s="6" t="s">
        <v>14</v>
      </c>
      <c r="DJ4" s="6"/>
      <c r="EF4" s="6" t="s">
        <v>14</v>
      </c>
      <c r="EG4" s="6"/>
      <c r="FH4" s="6" t="s">
        <v>14</v>
      </c>
      <c r="FI4" s="6"/>
      <c r="HK4" s="6" t="s">
        <v>14</v>
      </c>
      <c r="HL4" s="6"/>
      <c r="II4" s="6" t="s">
        <v>14</v>
      </c>
      <c r="IJ4" s="6"/>
    </row>
    <row r="5" spans="1:261" ht="14.25" x14ac:dyDescent="0.45">
      <c r="B5" t="s">
        <v>12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T5" t="s">
        <v>12</v>
      </c>
      <c r="U5" t="s">
        <v>17</v>
      </c>
      <c r="V5" t="s">
        <v>18</v>
      </c>
      <c r="W5" t="s">
        <v>19</v>
      </c>
      <c r="X5" t="s">
        <v>20</v>
      </c>
      <c r="Y5" t="s">
        <v>21</v>
      </c>
      <c r="Z5" t="s">
        <v>22</v>
      </c>
      <c r="AA5" t="s">
        <v>23</v>
      </c>
      <c r="AB5" t="s">
        <v>25</v>
      </c>
      <c r="AC5" t="s">
        <v>24</v>
      </c>
      <c r="AD5" t="s">
        <v>31</v>
      </c>
      <c r="AE5" t="s">
        <v>26</v>
      </c>
      <c r="AF5" t="s">
        <v>27</v>
      </c>
      <c r="AG5" t="s">
        <v>28</v>
      </c>
      <c r="AH5" t="s">
        <v>29</v>
      </c>
      <c r="AI5" t="s">
        <v>41</v>
      </c>
      <c r="AJ5" t="s">
        <v>30</v>
      </c>
      <c r="AL5" t="s">
        <v>32</v>
      </c>
      <c r="AM5" t="s">
        <v>12</v>
      </c>
      <c r="AN5" t="s">
        <v>17</v>
      </c>
      <c r="AO5" t="s">
        <v>18</v>
      </c>
      <c r="AP5" t="s">
        <v>19</v>
      </c>
      <c r="AQ5" t="s">
        <v>20</v>
      </c>
      <c r="AR5" t="s">
        <v>21</v>
      </c>
      <c r="AS5" t="s">
        <v>22</v>
      </c>
      <c r="AT5" t="s">
        <v>23</v>
      </c>
      <c r="AU5" t="s">
        <v>33</v>
      </c>
      <c r="AV5" t="s">
        <v>25</v>
      </c>
      <c r="AW5" t="s">
        <v>24</v>
      </c>
      <c r="AX5" t="s">
        <v>31</v>
      </c>
      <c r="AY5" t="s">
        <v>26</v>
      </c>
      <c r="AZ5" t="s">
        <v>27</v>
      </c>
      <c r="BA5" t="s">
        <v>28</v>
      </c>
      <c r="BB5" t="s">
        <v>34</v>
      </c>
      <c r="BC5" t="s">
        <v>29</v>
      </c>
      <c r="BD5" t="s">
        <v>30</v>
      </c>
      <c r="BH5" t="s">
        <v>12</v>
      </c>
      <c r="BI5" t="s">
        <v>16</v>
      </c>
      <c r="BJ5" t="s">
        <v>17</v>
      </c>
      <c r="BK5" t="s">
        <v>18</v>
      </c>
      <c r="BL5" t="s">
        <v>19</v>
      </c>
      <c r="BM5" t="s">
        <v>20</v>
      </c>
      <c r="BN5" t="s">
        <v>39</v>
      </c>
      <c r="BO5" t="s">
        <v>40</v>
      </c>
      <c r="BP5" t="s">
        <v>21</v>
      </c>
      <c r="BQ5" t="s">
        <v>22</v>
      </c>
      <c r="BR5" t="s">
        <v>23</v>
      </c>
      <c r="BS5" t="s">
        <v>35</v>
      </c>
      <c r="BT5" t="s">
        <v>137</v>
      </c>
      <c r="BU5" t="s">
        <v>25</v>
      </c>
      <c r="BV5" t="s">
        <v>24</v>
      </c>
      <c r="BW5" t="s">
        <v>31</v>
      </c>
      <c r="BX5" t="s">
        <v>26</v>
      </c>
      <c r="BY5" t="s">
        <v>27</v>
      </c>
      <c r="BZ5" t="s">
        <v>28</v>
      </c>
      <c r="CA5" t="s">
        <v>34</v>
      </c>
      <c r="CB5" t="s">
        <v>29</v>
      </c>
      <c r="CC5" t="s">
        <v>42</v>
      </c>
      <c r="CD5" t="s">
        <v>36</v>
      </c>
      <c r="CG5" t="s">
        <v>12</v>
      </c>
      <c r="CH5" t="s">
        <v>41</v>
      </c>
      <c r="CI5" t="s">
        <v>38</v>
      </c>
      <c r="CJ5" t="s">
        <v>17</v>
      </c>
      <c r="CK5" t="s">
        <v>18</v>
      </c>
      <c r="CL5" t="s">
        <v>19</v>
      </c>
      <c r="CM5" t="s">
        <v>37</v>
      </c>
      <c r="CN5" t="s">
        <v>20</v>
      </c>
      <c r="CO5" t="s">
        <v>21</v>
      </c>
      <c r="CP5" t="s">
        <v>22</v>
      </c>
      <c r="CQ5" t="s">
        <v>23</v>
      </c>
      <c r="CR5" t="s">
        <v>35</v>
      </c>
      <c r="CS5" t="s">
        <v>33</v>
      </c>
      <c r="CT5" t="s">
        <v>25</v>
      </c>
      <c r="CU5" t="s">
        <v>24</v>
      </c>
      <c r="CV5" t="s">
        <v>31</v>
      </c>
      <c r="CW5" t="s">
        <v>26</v>
      </c>
      <c r="CX5" t="s">
        <v>27</v>
      </c>
      <c r="CY5" t="s">
        <v>28</v>
      </c>
      <c r="CZ5" t="s">
        <v>29</v>
      </c>
      <c r="DA5" t="s">
        <v>30</v>
      </c>
      <c r="DF5" t="s">
        <v>12</v>
      </c>
      <c r="DG5" t="s">
        <v>38</v>
      </c>
      <c r="DH5" t="s">
        <v>17</v>
      </c>
      <c r="DI5" t="s">
        <v>18</v>
      </c>
      <c r="DJ5" t="s">
        <v>19</v>
      </c>
      <c r="DK5" t="s">
        <v>37</v>
      </c>
      <c r="DL5" t="s">
        <v>20</v>
      </c>
      <c r="DM5" t="s">
        <v>21</v>
      </c>
      <c r="DN5" t="s">
        <v>22</v>
      </c>
      <c r="DO5" t="s">
        <v>23</v>
      </c>
      <c r="DP5" t="s">
        <v>35</v>
      </c>
      <c r="DQ5" t="s">
        <v>33</v>
      </c>
      <c r="DR5" t="s">
        <v>25</v>
      </c>
      <c r="DS5" t="s">
        <v>24</v>
      </c>
      <c r="DT5" t="s">
        <v>31</v>
      </c>
      <c r="DU5" t="s">
        <v>26</v>
      </c>
      <c r="DV5" t="s">
        <v>27</v>
      </c>
      <c r="DW5" t="s">
        <v>28</v>
      </c>
      <c r="DX5" t="s">
        <v>34</v>
      </c>
      <c r="DY5" t="s">
        <v>29</v>
      </c>
      <c r="DZ5" t="s">
        <v>30</v>
      </c>
      <c r="EC5" t="s">
        <v>12</v>
      </c>
      <c r="ED5" t="s">
        <v>41</v>
      </c>
      <c r="EE5" t="s">
        <v>38</v>
      </c>
      <c r="EF5" t="s">
        <v>17</v>
      </c>
      <c r="EG5" t="s">
        <v>18</v>
      </c>
      <c r="EH5" t="s">
        <v>19</v>
      </c>
      <c r="EI5" t="s">
        <v>37</v>
      </c>
      <c r="EJ5" t="s">
        <v>20</v>
      </c>
      <c r="EK5" t="s">
        <v>39</v>
      </c>
      <c r="EL5" t="s">
        <v>40</v>
      </c>
      <c r="EM5" t="s">
        <v>21</v>
      </c>
      <c r="EN5" t="s">
        <v>22</v>
      </c>
      <c r="EO5" t="s">
        <v>23</v>
      </c>
      <c r="EP5" t="s">
        <v>35</v>
      </c>
      <c r="EQ5" t="s">
        <v>33</v>
      </c>
      <c r="ER5" t="s">
        <v>25</v>
      </c>
      <c r="ES5" t="s">
        <v>24</v>
      </c>
      <c r="ET5" t="s">
        <v>31</v>
      </c>
      <c r="EU5" t="s">
        <v>26</v>
      </c>
      <c r="EV5" t="s">
        <v>138</v>
      </c>
      <c r="EW5" t="s">
        <v>43</v>
      </c>
      <c r="EX5" t="s">
        <v>27</v>
      </c>
      <c r="EY5" t="s">
        <v>28</v>
      </c>
      <c r="EZ5" t="s">
        <v>34</v>
      </c>
      <c r="FA5" t="s">
        <v>29</v>
      </c>
      <c r="FB5" t="s">
        <v>42</v>
      </c>
      <c r="FC5" t="s">
        <v>30</v>
      </c>
      <c r="FF5" t="s">
        <v>12</v>
      </c>
      <c r="FG5" t="s">
        <v>41</v>
      </c>
      <c r="FH5" t="s">
        <v>38</v>
      </c>
      <c r="FI5" t="s">
        <v>17</v>
      </c>
      <c r="FJ5" t="s">
        <v>18</v>
      </c>
      <c r="FK5" t="s">
        <v>19</v>
      </c>
      <c r="FL5" t="s">
        <v>37</v>
      </c>
      <c r="FM5" t="s">
        <v>20</v>
      </c>
      <c r="FN5" t="s">
        <v>39</v>
      </c>
      <c r="FO5" t="s">
        <v>40</v>
      </c>
      <c r="FP5" t="s">
        <v>21</v>
      </c>
      <c r="FQ5" t="s">
        <v>22</v>
      </c>
      <c r="FR5" t="s">
        <v>23</v>
      </c>
      <c r="FS5" t="s">
        <v>35</v>
      </c>
      <c r="FT5" t="s">
        <v>33</v>
      </c>
      <c r="FU5" t="s">
        <v>25</v>
      </c>
      <c r="FV5" t="s">
        <v>24</v>
      </c>
      <c r="FW5" t="s">
        <v>31</v>
      </c>
      <c r="FX5" t="s">
        <v>26</v>
      </c>
      <c r="FY5" t="s">
        <v>43</v>
      </c>
      <c r="FZ5" t="s">
        <v>27</v>
      </c>
      <c r="GA5" t="s">
        <v>28</v>
      </c>
      <c r="GB5" t="s">
        <v>34</v>
      </c>
      <c r="GC5" t="s">
        <v>29</v>
      </c>
      <c r="GD5" t="s">
        <v>42</v>
      </c>
      <c r="GE5" t="s">
        <v>30</v>
      </c>
      <c r="GH5" t="s">
        <v>12</v>
      </c>
      <c r="GI5" t="s">
        <v>41</v>
      </c>
      <c r="GJ5" t="s">
        <v>38</v>
      </c>
      <c r="GK5" t="s">
        <v>17</v>
      </c>
      <c r="GL5" t="s">
        <v>18</v>
      </c>
      <c r="GM5" t="s">
        <v>19</v>
      </c>
      <c r="GN5" t="s">
        <v>37</v>
      </c>
      <c r="GO5" t="s">
        <v>20</v>
      </c>
      <c r="GP5" t="s">
        <v>39</v>
      </c>
      <c r="GQ5" t="s">
        <v>40</v>
      </c>
      <c r="GR5" t="s">
        <v>21</v>
      </c>
      <c r="GS5" t="s">
        <v>22</v>
      </c>
      <c r="GT5" t="s">
        <v>23</v>
      </c>
      <c r="GU5" t="s">
        <v>35</v>
      </c>
      <c r="GV5" t="s">
        <v>33</v>
      </c>
      <c r="GW5" t="s">
        <v>25</v>
      </c>
      <c r="GX5" t="s">
        <v>24</v>
      </c>
      <c r="GY5" t="s">
        <v>31</v>
      </c>
      <c r="GZ5" t="s">
        <v>26</v>
      </c>
      <c r="HA5" t="s">
        <v>43</v>
      </c>
      <c r="HB5" t="s">
        <v>27</v>
      </c>
      <c r="HC5" t="s">
        <v>28</v>
      </c>
      <c r="HD5" t="s">
        <v>34</v>
      </c>
      <c r="HE5" t="s">
        <v>29</v>
      </c>
      <c r="HF5" t="s">
        <v>30</v>
      </c>
      <c r="HI5" t="s">
        <v>15</v>
      </c>
      <c r="HJ5" t="s">
        <v>41</v>
      </c>
      <c r="HK5" t="s">
        <v>38</v>
      </c>
      <c r="HL5" t="s">
        <v>17</v>
      </c>
      <c r="HM5" t="s">
        <v>18</v>
      </c>
      <c r="HN5" t="s">
        <v>19</v>
      </c>
      <c r="HO5" t="s">
        <v>20</v>
      </c>
      <c r="HP5" t="s">
        <v>39</v>
      </c>
      <c r="HQ5" t="s">
        <v>21</v>
      </c>
      <c r="HR5" t="s">
        <v>22</v>
      </c>
      <c r="HS5" t="s">
        <v>23</v>
      </c>
      <c r="HT5" t="s">
        <v>35</v>
      </c>
      <c r="HU5" t="s">
        <v>33</v>
      </c>
      <c r="HV5" t="s">
        <v>25</v>
      </c>
      <c r="HW5" t="s">
        <v>24</v>
      </c>
      <c r="HX5" t="s">
        <v>31</v>
      </c>
      <c r="HY5" t="s">
        <v>26</v>
      </c>
      <c r="HZ5" t="s">
        <v>27</v>
      </c>
      <c r="IA5" t="s">
        <v>28</v>
      </c>
      <c r="IB5" t="s">
        <v>34</v>
      </c>
      <c r="IC5" t="s">
        <v>29</v>
      </c>
      <c r="ID5" t="s">
        <v>30</v>
      </c>
      <c r="IG5" t="s">
        <v>12</v>
      </c>
      <c r="IH5" t="s">
        <v>41</v>
      </c>
      <c r="II5" t="s">
        <v>38</v>
      </c>
      <c r="IJ5" t="s">
        <v>17</v>
      </c>
      <c r="IK5" t="s">
        <v>18</v>
      </c>
      <c r="IL5" t="s">
        <v>19</v>
      </c>
      <c r="IM5" t="s">
        <v>20</v>
      </c>
      <c r="IN5" t="s">
        <v>21</v>
      </c>
      <c r="IO5" t="s">
        <v>22</v>
      </c>
      <c r="IP5" t="s">
        <v>23</v>
      </c>
      <c r="IQ5" t="s">
        <v>35</v>
      </c>
      <c r="IR5" t="s">
        <v>33</v>
      </c>
      <c r="IS5" t="s">
        <v>25</v>
      </c>
      <c r="IT5" t="s">
        <v>24</v>
      </c>
      <c r="IU5" t="s">
        <v>31</v>
      </c>
      <c r="IV5" t="s">
        <v>26</v>
      </c>
      <c r="IW5" t="s">
        <v>138</v>
      </c>
      <c r="IX5" t="s">
        <v>43</v>
      </c>
      <c r="IY5" t="s">
        <v>27</v>
      </c>
      <c r="IZ5" t="s">
        <v>29</v>
      </c>
      <c r="JA5" t="s">
        <v>30</v>
      </c>
    </row>
    <row r="6" spans="1:261" ht="14.25" x14ac:dyDescent="0.45">
      <c r="A6" s="6" t="s">
        <v>32</v>
      </c>
      <c r="B6" t="s">
        <v>16</v>
      </c>
      <c r="Q6">
        <f t="shared" ref="Q6:Q19" si="0">SUM(C6:P6)</f>
        <v>0</v>
      </c>
      <c r="S6" t="s">
        <v>32</v>
      </c>
      <c r="T6" t="s">
        <v>17</v>
      </c>
      <c r="U6">
        <v>8</v>
      </c>
      <c r="AH6">
        <v>2</v>
      </c>
      <c r="AJ6">
        <f>SUM(U6:AI6)</f>
        <v>10</v>
      </c>
      <c r="AM6" t="s">
        <v>17</v>
      </c>
      <c r="AN6">
        <v>10</v>
      </c>
      <c r="BD6">
        <f>SUM(AN6:BC6)</f>
        <v>10</v>
      </c>
      <c r="BG6" t="s">
        <v>32</v>
      </c>
      <c r="BH6" t="s">
        <v>16</v>
      </c>
      <c r="CD6">
        <f>SUM(BI6:CC6)</f>
        <v>0</v>
      </c>
      <c r="CF6" t="s">
        <v>32</v>
      </c>
      <c r="CG6" t="s">
        <v>41</v>
      </c>
      <c r="CS6">
        <v>1</v>
      </c>
      <c r="CT6">
        <v>1</v>
      </c>
      <c r="DA6">
        <f>SUM(CJ6:CZ6)</f>
        <v>2</v>
      </c>
      <c r="DE6" t="s">
        <v>32</v>
      </c>
      <c r="DF6" t="s">
        <v>38</v>
      </c>
      <c r="DZ6">
        <f>SUM(DG6:DY6)</f>
        <v>0</v>
      </c>
      <c r="EB6" t="s">
        <v>32</v>
      </c>
      <c r="EC6" t="s">
        <v>41</v>
      </c>
      <c r="ER6">
        <v>3</v>
      </c>
      <c r="EU6">
        <v>2</v>
      </c>
      <c r="FA6">
        <v>4</v>
      </c>
      <c r="FC6">
        <f>SUM(ED6:FB6)</f>
        <v>9</v>
      </c>
      <c r="FE6" t="s">
        <v>32</v>
      </c>
      <c r="FF6" t="s">
        <v>41</v>
      </c>
      <c r="GE6">
        <f t="shared" ref="GE6:GE29" si="1">SUM(FG6:GD6)</f>
        <v>0</v>
      </c>
      <c r="GH6" t="s">
        <v>41</v>
      </c>
      <c r="HE6">
        <v>3</v>
      </c>
      <c r="HF6">
        <f>SUM(GI6:HE6)</f>
        <v>3</v>
      </c>
      <c r="HH6" t="s">
        <v>32</v>
      </c>
      <c r="HI6" t="s">
        <v>41</v>
      </c>
      <c r="ID6">
        <f>SUM(HJ6:IC6)</f>
        <v>0</v>
      </c>
      <c r="IF6" t="s">
        <v>32</v>
      </c>
      <c r="IG6" t="s">
        <v>41</v>
      </c>
      <c r="IS6">
        <v>4</v>
      </c>
      <c r="IV6">
        <v>1</v>
      </c>
      <c r="JA6">
        <f>SUM(IH6:IZ6)</f>
        <v>5</v>
      </c>
    </row>
    <row r="7" spans="1:261" ht="14.25" x14ac:dyDescent="0.45">
      <c r="A7" s="6"/>
      <c r="B7" t="s">
        <v>17</v>
      </c>
      <c r="D7">
        <v>9</v>
      </c>
      <c r="P7">
        <v>1</v>
      </c>
      <c r="Q7">
        <f t="shared" si="0"/>
        <v>10</v>
      </c>
      <c r="T7" t="s">
        <v>18</v>
      </c>
      <c r="V7">
        <v>4</v>
      </c>
      <c r="Z7">
        <v>1</v>
      </c>
      <c r="AA7">
        <v>3</v>
      </c>
      <c r="AB7">
        <v>2</v>
      </c>
      <c r="AC7">
        <v>1</v>
      </c>
      <c r="AE7">
        <v>7</v>
      </c>
      <c r="AH7">
        <v>48</v>
      </c>
      <c r="AJ7">
        <f t="shared" ref="AJ7:AJ20" si="2">SUM(U7:AI7)</f>
        <v>66</v>
      </c>
      <c r="AM7" t="s">
        <v>18</v>
      </c>
      <c r="AO7">
        <v>2</v>
      </c>
      <c r="AR7">
        <v>2</v>
      </c>
      <c r="AU7">
        <v>1</v>
      </c>
      <c r="BC7">
        <v>2</v>
      </c>
      <c r="BD7">
        <f t="shared" ref="BD7:BD21" si="3">SUM(AN7:BC7)</f>
        <v>7</v>
      </c>
      <c r="BH7" t="s">
        <v>17</v>
      </c>
      <c r="BJ7">
        <v>14</v>
      </c>
      <c r="CD7">
        <f t="shared" ref="CD7:CD26" si="4">SUM(BI7:CC7)</f>
        <v>14</v>
      </c>
      <c r="CG7" t="s">
        <v>16</v>
      </c>
      <c r="DA7">
        <f t="shared" ref="DA7:DA24" si="5">SUM(CJ7:CZ7)</f>
        <v>0</v>
      </c>
      <c r="DF7" t="s">
        <v>17</v>
      </c>
      <c r="DH7">
        <v>232</v>
      </c>
      <c r="DY7">
        <v>10</v>
      </c>
      <c r="DZ7">
        <f>SUM(DG7:DY7)</f>
        <v>242</v>
      </c>
      <c r="EC7" t="s">
        <v>38</v>
      </c>
      <c r="FC7">
        <f t="shared" ref="FC7:FC29" si="6">SUM(ED7:FB7)</f>
        <v>0</v>
      </c>
      <c r="FF7" t="s">
        <v>38</v>
      </c>
      <c r="GE7">
        <f t="shared" si="1"/>
        <v>0</v>
      </c>
      <c r="GH7" t="s">
        <v>38</v>
      </c>
      <c r="HF7">
        <f t="shared" ref="HF7:HF28" si="7">SUM(GI7:HE7)</f>
        <v>0</v>
      </c>
      <c r="HI7" t="s">
        <v>38</v>
      </c>
      <c r="ID7">
        <f t="shared" ref="ID7:ID25" si="8">SUM(HJ7:IC7)</f>
        <v>0</v>
      </c>
      <c r="IG7" t="s">
        <v>38</v>
      </c>
      <c r="JA7">
        <f t="shared" ref="JA7:JA24" si="9">SUM(IH7:IZ7)</f>
        <v>0</v>
      </c>
    </row>
    <row r="8" spans="1:261" ht="14.25" x14ac:dyDescent="0.45">
      <c r="B8" t="s">
        <v>18</v>
      </c>
      <c r="Q8">
        <f t="shared" si="0"/>
        <v>0</v>
      </c>
      <c r="T8" t="s">
        <v>19</v>
      </c>
      <c r="AJ8">
        <f t="shared" si="2"/>
        <v>0</v>
      </c>
      <c r="AM8" t="s">
        <v>19</v>
      </c>
      <c r="AP8">
        <v>2</v>
      </c>
      <c r="BD8">
        <f t="shared" si="3"/>
        <v>2</v>
      </c>
      <c r="BH8" t="s">
        <v>18</v>
      </c>
      <c r="BI8">
        <v>22</v>
      </c>
      <c r="BJ8">
        <v>3</v>
      </c>
      <c r="BK8">
        <v>675</v>
      </c>
      <c r="BL8">
        <v>3</v>
      </c>
      <c r="BN8">
        <v>3</v>
      </c>
      <c r="BP8">
        <v>97</v>
      </c>
      <c r="BQ8">
        <v>243</v>
      </c>
      <c r="BR8">
        <v>18</v>
      </c>
      <c r="BS8">
        <v>6</v>
      </c>
      <c r="BT8">
        <v>4</v>
      </c>
      <c r="BU8">
        <v>47</v>
      </c>
      <c r="BV8">
        <v>3</v>
      </c>
      <c r="BW8">
        <v>4</v>
      </c>
      <c r="BX8">
        <v>257</v>
      </c>
      <c r="BY8">
        <v>14</v>
      </c>
      <c r="BZ8">
        <v>1</v>
      </c>
      <c r="CB8">
        <v>200</v>
      </c>
      <c r="CD8">
        <f t="shared" si="4"/>
        <v>1600</v>
      </c>
      <c r="CG8" t="s">
        <v>17</v>
      </c>
      <c r="CJ8">
        <v>28</v>
      </c>
      <c r="CN8">
        <v>1</v>
      </c>
      <c r="DA8">
        <f t="shared" si="5"/>
        <v>29</v>
      </c>
      <c r="DF8" t="s">
        <v>18</v>
      </c>
      <c r="DZ8">
        <f t="shared" ref="DZ8:DZ24" si="10">SUM(DG8:DY8)</f>
        <v>0</v>
      </c>
      <c r="EC8" t="s">
        <v>17</v>
      </c>
      <c r="EF8">
        <v>171</v>
      </c>
      <c r="EJ8">
        <v>1</v>
      </c>
      <c r="EM8">
        <v>3</v>
      </c>
      <c r="EN8">
        <v>1</v>
      </c>
      <c r="EO8">
        <v>2</v>
      </c>
      <c r="ET8">
        <v>1</v>
      </c>
      <c r="EV8">
        <v>1</v>
      </c>
      <c r="EX8">
        <v>2</v>
      </c>
      <c r="FA8">
        <v>52</v>
      </c>
      <c r="FC8">
        <f t="shared" si="6"/>
        <v>234</v>
      </c>
      <c r="FF8" t="s">
        <v>17</v>
      </c>
      <c r="FI8">
        <v>74</v>
      </c>
      <c r="FP8">
        <v>1</v>
      </c>
      <c r="FW8">
        <v>1</v>
      </c>
      <c r="FZ8">
        <v>2</v>
      </c>
      <c r="GC8">
        <v>45</v>
      </c>
      <c r="GE8">
        <f t="shared" si="1"/>
        <v>123</v>
      </c>
      <c r="GH8" t="s">
        <v>17</v>
      </c>
      <c r="HF8">
        <f t="shared" si="7"/>
        <v>0</v>
      </c>
      <c r="HI8" t="s">
        <v>17</v>
      </c>
      <c r="HL8">
        <v>8</v>
      </c>
      <c r="HO8">
        <v>1</v>
      </c>
      <c r="IC8">
        <v>1</v>
      </c>
      <c r="ID8">
        <f t="shared" si="8"/>
        <v>10</v>
      </c>
      <c r="IG8" t="s">
        <v>17</v>
      </c>
      <c r="IJ8">
        <v>98</v>
      </c>
      <c r="IM8">
        <v>3</v>
      </c>
      <c r="IW8">
        <v>1</v>
      </c>
      <c r="IX8">
        <v>1</v>
      </c>
      <c r="IY8">
        <v>1</v>
      </c>
      <c r="IZ8">
        <v>11</v>
      </c>
      <c r="JA8">
        <f t="shared" si="9"/>
        <v>115</v>
      </c>
    </row>
    <row r="9" spans="1:261" ht="14.25" x14ac:dyDescent="0.45">
      <c r="B9" t="s">
        <v>19</v>
      </c>
      <c r="Q9">
        <f t="shared" si="0"/>
        <v>0</v>
      </c>
      <c r="T9" t="s">
        <v>20</v>
      </c>
      <c r="AJ9">
        <f t="shared" si="2"/>
        <v>0</v>
      </c>
      <c r="AM9" t="s">
        <v>20</v>
      </c>
      <c r="BD9">
        <f t="shared" si="3"/>
        <v>0</v>
      </c>
      <c r="BH9" t="s">
        <v>19</v>
      </c>
      <c r="BL9">
        <v>5</v>
      </c>
      <c r="BP9">
        <v>1</v>
      </c>
      <c r="BU9">
        <v>1</v>
      </c>
      <c r="BY9">
        <v>1</v>
      </c>
      <c r="CD9">
        <f t="shared" si="4"/>
        <v>8</v>
      </c>
      <c r="CG9" t="s">
        <v>18</v>
      </c>
      <c r="CK9">
        <v>203</v>
      </c>
      <c r="CP9">
        <v>21</v>
      </c>
      <c r="CQ9">
        <v>1</v>
      </c>
      <c r="CU9">
        <v>1</v>
      </c>
      <c r="CV9">
        <v>1</v>
      </c>
      <c r="CZ9">
        <v>80</v>
      </c>
      <c r="DA9">
        <f t="shared" si="5"/>
        <v>307</v>
      </c>
      <c r="DF9" t="s">
        <v>19</v>
      </c>
      <c r="DZ9">
        <f t="shared" si="10"/>
        <v>0</v>
      </c>
      <c r="EC9" t="s">
        <v>18</v>
      </c>
      <c r="EG9">
        <v>1206</v>
      </c>
      <c r="EM9">
        <v>2</v>
      </c>
      <c r="EN9">
        <v>9</v>
      </c>
      <c r="ER9">
        <v>3</v>
      </c>
      <c r="ET9">
        <v>1</v>
      </c>
      <c r="EU9">
        <v>3</v>
      </c>
      <c r="FA9">
        <v>183</v>
      </c>
      <c r="FC9">
        <f t="shared" si="6"/>
        <v>1407</v>
      </c>
      <c r="FF9" t="s">
        <v>18</v>
      </c>
      <c r="FJ9">
        <v>3</v>
      </c>
      <c r="FP9">
        <v>5</v>
      </c>
      <c r="FW9">
        <v>1</v>
      </c>
      <c r="FX9">
        <v>136</v>
      </c>
      <c r="GC9">
        <v>446</v>
      </c>
      <c r="GE9">
        <f t="shared" si="1"/>
        <v>591</v>
      </c>
      <c r="GH9" t="s">
        <v>18</v>
      </c>
      <c r="GL9">
        <v>25</v>
      </c>
      <c r="GY9">
        <v>1</v>
      </c>
      <c r="HE9">
        <v>8</v>
      </c>
      <c r="HF9">
        <f t="shared" si="7"/>
        <v>34</v>
      </c>
      <c r="HI9" t="s">
        <v>18</v>
      </c>
      <c r="HK9">
        <v>2</v>
      </c>
      <c r="HM9">
        <v>96</v>
      </c>
      <c r="HQ9">
        <v>1</v>
      </c>
      <c r="HR9">
        <v>10</v>
      </c>
      <c r="HS9">
        <v>9</v>
      </c>
      <c r="HU9">
        <v>1</v>
      </c>
      <c r="HV9">
        <v>2</v>
      </c>
      <c r="HX9">
        <v>2</v>
      </c>
      <c r="HY9">
        <v>26</v>
      </c>
      <c r="HZ9">
        <v>1</v>
      </c>
      <c r="IC9">
        <v>160</v>
      </c>
      <c r="ID9">
        <f t="shared" si="8"/>
        <v>310</v>
      </c>
      <c r="IG9" t="s">
        <v>18</v>
      </c>
      <c r="IK9">
        <v>366</v>
      </c>
      <c r="IN9">
        <v>2</v>
      </c>
      <c r="IS9">
        <v>3</v>
      </c>
      <c r="IU9">
        <v>3</v>
      </c>
      <c r="IV9">
        <v>1</v>
      </c>
      <c r="IZ9">
        <v>73</v>
      </c>
      <c r="JA9">
        <f t="shared" si="9"/>
        <v>448</v>
      </c>
    </row>
    <row r="10" spans="1:261" ht="14.25" x14ac:dyDescent="0.45">
      <c r="B10" t="s">
        <v>20</v>
      </c>
      <c r="Q10">
        <f t="shared" si="0"/>
        <v>0</v>
      </c>
      <c r="T10" t="s">
        <v>21</v>
      </c>
      <c r="Y10">
        <v>1</v>
      </c>
      <c r="AJ10">
        <f t="shared" si="2"/>
        <v>1</v>
      </c>
      <c r="AM10" t="s">
        <v>21</v>
      </c>
      <c r="AR10">
        <v>3</v>
      </c>
      <c r="BD10">
        <f t="shared" si="3"/>
        <v>3</v>
      </c>
      <c r="BH10" t="s">
        <v>20</v>
      </c>
      <c r="BM10">
        <v>2</v>
      </c>
      <c r="CD10">
        <f t="shared" si="4"/>
        <v>2</v>
      </c>
      <c r="CG10" t="s">
        <v>19</v>
      </c>
      <c r="CL10">
        <v>2</v>
      </c>
      <c r="CO10">
        <v>1</v>
      </c>
      <c r="DA10">
        <f t="shared" si="5"/>
        <v>3</v>
      </c>
      <c r="DF10" t="s">
        <v>37</v>
      </c>
      <c r="DZ10">
        <f t="shared" si="10"/>
        <v>0</v>
      </c>
      <c r="EC10" t="s">
        <v>19</v>
      </c>
      <c r="EH10">
        <v>39</v>
      </c>
      <c r="EU10">
        <v>1</v>
      </c>
      <c r="FA10">
        <v>1</v>
      </c>
      <c r="FC10">
        <f t="shared" si="6"/>
        <v>41</v>
      </c>
      <c r="FF10" t="s">
        <v>19</v>
      </c>
      <c r="GE10">
        <f t="shared" si="1"/>
        <v>0</v>
      </c>
      <c r="GH10" t="s">
        <v>19</v>
      </c>
      <c r="HF10">
        <f t="shared" si="7"/>
        <v>0</v>
      </c>
      <c r="HI10" t="s">
        <v>19</v>
      </c>
      <c r="HN10">
        <v>1</v>
      </c>
      <c r="ID10">
        <f t="shared" si="8"/>
        <v>1</v>
      </c>
      <c r="IG10" t="s">
        <v>19</v>
      </c>
      <c r="IL10">
        <v>16</v>
      </c>
      <c r="IV10">
        <v>1</v>
      </c>
      <c r="JA10">
        <f t="shared" si="9"/>
        <v>17</v>
      </c>
    </row>
    <row r="11" spans="1:261" ht="14.25" x14ac:dyDescent="0.45">
      <c r="B11" t="s">
        <v>21</v>
      </c>
      <c r="H11">
        <v>1</v>
      </c>
      <c r="Q11">
        <f t="shared" si="0"/>
        <v>1</v>
      </c>
      <c r="T11" t="s">
        <v>22</v>
      </c>
      <c r="Z11">
        <v>4</v>
      </c>
      <c r="AJ11">
        <f t="shared" si="2"/>
        <v>4</v>
      </c>
      <c r="AM11" t="s">
        <v>22</v>
      </c>
      <c r="BD11">
        <f t="shared" si="3"/>
        <v>0</v>
      </c>
      <c r="BH11" t="s">
        <v>39</v>
      </c>
      <c r="CD11">
        <f t="shared" si="4"/>
        <v>0</v>
      </c>
      <c r="CG11" t="s">
        <v>37</v>
      </c>
      <c r="DA11">
        <f t="shared" si="5"/>
        <v>0</v>
      </c>
      <c r="DF11" t="s">
        <v>20</v>
      </c>
      <c r="DZ11">
        <f t="shared" si="10"/>
        <v>0</v>
      </c>
      <c r="EC11" t="s">
        <v>37</v>
      </c>
      <c r="FC11">
        <f t="shared" si="6"/>
        <v>0</v>
      </c>
      <c r="FF11" t="s">
        <v>37</v>
      </c>
      <c r="GE11">
        <f t="shared" si="1"/>
        <v>0</v>
      </c>
      <c r="GH11" t="s">
        <v>37</v>
      </c>
      <c r="HF11">
        <f t="shared" si="7"/>
        <v>0</v>
      </c>
      <c r="HI11" t="s">
        <v>20</v>
      </c>
      <c r="IC11">
        <v>2</v>
      </c>
      <c r="ID11">
        <f t="shared" si="8"/>
        <v>2</v>
      </c>
      <c r="IG11" t="s">
        <v>20</v>
      </c>
      <c r="IM11">
        <v>2</v>
      </c>
      <c r="JA11">
        <f t="shared" si="9"/>
        <v>2</v>
      </c>
    </row>
    <row r="12" spans="1:261" ht="14.25" x14ac:dyDescent="0.45">
      <c r="B12" t="s">
        <v>22</v>
      </c>
      <c r="I12">
        <v>3</v>
      </c>
      <c r="Q12">
        <f t="shared" si="0"/>
        <v>3</v>
      </c>
      <c r="T12" t="s">
        <v>23</v>
      </c>
      <c r="AJ12">
        <f t="shared" si="2"/>
        <v>0</v>
      </c>
      <c r="AM12" t="s">
        <v>23</v>
      </c>
      <c r="BD12">
        <f t="shared" si="3"/>
        <v>0</v>
      </c>
      <c r="BH12" t="s">
        <v>40</v>
      </c>
      <c r="CD12">
        <f t="shared" si="4"/>
        <v>0</v>
      </c>
      <c r="CG12" t="s">
        <v>20</v>
      </c>
      <c r="CN12">
        <v>2</v>
      </c>
      <c r="DA12">
        <f t="shared" si="5"/>
        <v>2</v>
      </c>
      <c r="DF12" t="s">
        <v>21</v>
      </c>
      <c r="DZ12">
        <f t="shared" si="10"/>
        <v>0</v>
      </c>
      <c r="EC12" t="s">
        <v>20</v>
      </c>
      <c r="EJ12">
        <v>8</v>
      </c>
      <c r="FC12">
        <f t="shared" si="6"/>
        <v>8</v>
      </c>
      <c r="FF12" t="s">
        <v>20</v>
      </c>
      <c r="FM12">
        <v>69</v>
      </c>
      <c r="GE12">
        <f t="shared" si="1"/>
        <v>69</v>
      </c>
      <c r="GH12" t="s">
        <v>20</v>
      </c>
      <c r="HF12">
        <f t="shared" si="7"/>
        <v>0</v>
      </c>
      <c r="HI12" t="s">
        <v>39</v>
      </c>
      <c r="ID12">
        <f t="shared" si="8"/>
        <v>0</v>
      </c>
      <c r="IG12" t="s">
        <v>21</v>
      </c>
      <c r="IN12">
        <v>26</v>
      </c>
      <c r="IQ12">
        <v>1</v>
      </c>
      <c r="JA12">
        <f t="shared" si="9"/>
        <v>27</v>
      </c>
    </row>
    <row r="13" spans="1:261" ht="14.25" x14ac:dyDescent="0.45">
      <c r="B13" t="s">
        <v>23</v>
      </c>
      <c r="Q13">
        <f t="shared" si="0"/>
        <v>0</v>
      </c>
      <c r="T13" t="s">
        <v>25</v>
      </c>
      <c r="Z13">
        <v>2</v>
      </c>
      <c r="AC13">
        <v>4</v>
      </c>
      <c r="AD13">
        <v>1</v>
      </c>
      <c r="AF13">
        <v>1</v>
      </c>
      <c r="AH13">
        <v>5</v>
      </c>
      <c r="AJ13">
        <f t="shared" si="2"/>
        <v>13</v>
      </c>
      <c r="AM13" t="s">
        <v>33</v>
      </c>
      <c r="BD13">
        <f t="shared" si="3"/>
        <v>0</v>
      </c>
      <c r="BH13" t="s">
        <v>21</v>
      </c>
      <c r="BP13">
        <v>3</v>
      </c>
      <c r="BQ13">
        <v>1</v>
      </c>
      <c r="CD13">
        <f t="shared" si="4"/>
        <v>4</v>
      </c>
      <c r="CG13" t="s">
        <v>21</v>
      </c>
      <c r="CJ13">
        <v>1</v>
      </c>
      <c r="CO13">
        <v>4</v>
      </c>
      <c r="DA13">
        <f t="shared" si="5"/>
        <v>5</v>
      </c>
      <c r="DF13" t="s">
        <v>22</v>
      </c>
      <c r="DZ13">
        <f t="shared" si="10"/>
        <v>0</v>
      </c>
      <c r="EC13" t="s">
        <v>39</v>
      </c>
      <c r="FC13">
        <f t="shared" si="6"/>
        <v>0</v>
      </c>
      <c r="FF13" t="s">
        <v>39</v>
      </c>
      <c r="GE13">
        <f t="shared" si="1"/>
        <v>0</v>
      </c>
      <c r="GH13" t="s">
        <v>39</v>
      </c>
      <c r="HF13">
        <f t="shared" si="7"/>
        <v>0</v>
      </c>
      <c r="HI13" t="s">
        <v>21</v>
      </c>
      <c r="HQ13">
        <v>1</v>
      </c>
      <c r="ID13">
        <f t="shared" si="8"/>
        <v>1</v>
      </c>
      <c r="IG13" t="s">
        <v>22</v>
      </c>
      <c r="IO13">
        <v>4</v>
      </c>
      <c r="JA13">
        <f t="shared" si="9"/>
        <v>4</v>
      </c>
    </row>
    <row r="14" spans="1:261" ht="14.25" x14ac:dyDescent="0.45">
      <c r="B14" t="s">
        <v>24</v>
      </c>
      <c r="K14">
        <v>4</v>
      </c>
      <c r="Q14">
        <f t="shared" si="0"/>
        <v>4</v>
      </c>
      <c r="T14" t="s">
        <v>24</v>
      </c>
      <c r="AJ14">
        <f t="shared" si="2"/>
        <v>0</v>
      </c>
      <c r="AM14" t="s">
        <v>25</v>
      </c>
      <c r="AN14">
        <v>4</v>
      </c>
      <c r="AO14">
        <v>2</v>
      </c>
      <c r="AR14">
        <v>2</v>
      </c>
      <c r="AW14">
        <v>1</v>
      </c>
      <c r="BB14">
        <v>1</v>
      </c>
      <c r="BC14">
        <v>11</v>
      </c>
      <c r="BD14">
        <f t="shared" si="3"/>
        <v>21</v>
      </c>
      <c r="BH14" t="s">
        <v>22</v>
      </c>
      <c r="CD14">
        <f t="shared" si="4"/>
        <v>0</v>
      </c>
      <c r="CG14" t="s">
        <v>22</v>
      </c>
      <c r="DA14">
        <f t="shared" si="5"/>
        <v>0</v>
      </c>
      <c r="DF14" t="s">
        <v>23</v>
      </c>
      <c r="DZ14">
        <f t="shared" si="10"/>
        <v>0</v>
      </c>
      <c r="EC14" t="s">
        <v>40</v>
      </c>
      <c r="FC14">
        <f t="shared" si="6"/>
        <v>0</v>
      </c>
      <c r="FF14" t="s">
        <v>40</v>
      </c>
      <c r="GE14">
        <f t="shared" si="1"/>
        <v>0</v>
      </c>
      <c r="GH14" t="s">
        <v>40</v>
      </c>
      <c r="HF14">
        <f t="shared" si="7"/>
        <v>0</v>
      </c>
      <c r="HI14" t="s">
        <v>22</v>
      </c>
      <c r="HQ14">
        <v>2</v>
      </c>
      <c r="HR14">
        <v>1</v>
      </c>
      <c r="ID14">
        <f t="shared" si="8"/>
        <v>3</v>
      </c>
      <c r="IG14" t="s">
        <v>23</v>
      </c>
      <c r="IP14">
        <v>2</v>
      </c>
      <c r="JA14">
        <f t="shared" si="9"/>
        <v>2</v>
      </c>
    </row>
    <row r="15" spans="1:261" ht="14.25" x14ac:dyDescent="0.45">
      <c r="B15" t="s">
        <v>25</v>
      </c>
      <c r="J15">
        <v>1</v>
      </c>
      <c r="P15">
        <v>56</v>
      </c>
      <c r="Q15">
        <f t="shared" si="0"/>
        <v>57</v>
      </c>
      <c r="T15" t="s">
        <v>31</v>
      </c>
      <c r="AJ15">
        <f t="shared" si="2"/>
        <v>0</v>
      </c>
      <c r="AM15" t="s">
        <v>24</v>
      </c>
      <c r="AW15">
        <v>6</v>
      </c>
      <c r="BD15">
        <f t="shared" si="3"/>
        <v>6</v>
      </c>
      <c r="BH15" t="s">
        <v>23</v>
      </c>
      <c r="CD15">
        <f t="shared" si="4"/>
        <v>0</v>
      </c>
      <c r="CG15" t="s">
        <v>23</v>
      </c>
      <c r="DA15">
        <f t="shared" si="5"/>
        <v>0</v>
      </c>
      <c r="DF15" t="s">
        <v>35</v>
      </c>
      <c r="DZ15">
        <f t="shared" si="10"/>
        <v>0</v>
      </c>
      <c r="EC15" t="s">
        <v>21</v>
      </c>
      <c r="EM15">
        <v>50</v>
      </c>
      <c r="EP15">
        <v>1</v>
      </c>
      <c r="ET15">
        <v>1</v>
      </c>
      <c r="FC15">
        <f t="shared" si="6"/>
        <v>52</v>
      </c>
      <c r="FF15" t="s">
        <v>21</v>
      </c>
      <c r="GE15">
        <f t="shared" si="1"/>
        <v>0</v>
      </c>
      <c r="GH15" t="s">
        <v>21</v>
      </c>
      <c r="HF15">
        <f t="shared" si="7"/>
        <v>0</v>
      </c>
      <c r="HI15" t="s">
        <v>23</v>
      </c>
      <c r="ID15">
        <f t="shared" si="8"/>
        <v>0</v>
      </c>
      <c r="IG15" t="s">
        <v>35</v>
      </c>
      <c r="JA15">
        <f t="shared" si="9"/>
        <v>0</v>
      </c>
    </row>
    <row r="16" spans="1:261" ht="14.25" x14ac:dyDescent="0.45">
      <c r="B16" t="s">
        <v>26</v>
      </c>
      <c r="Q16">
        <f t="shared" si="0"/>
        <v>0</v>
      </c>
      <c r="T16" t="s">
        <v>26</v>
      </c>
      <c r="AJ16">
        <f t="shared" si="2"/>
        <v>0</v>
      </c>
      <c r="AM16" t="s">
        <v>31</v>
      </c>
      <c r="AR16">
        <v>1</v>
      </c>
      <c r="AX16">
        <v>8</v>
      </c>
      <c r="AY16">
        <v>1</v>
      </c>
      <c r="BC16">
        <v>1</v>
      </c>
      <c r="BD16">
        <f t="shared" si="3"/>
        <v>11</v>
      </c>
      <c r="BH16" t="s">
        <v>35</v>
      </c>
      <c r="CD16">
        <f t="shared" si="4"/>
        <v>0</v>
      </c>
      <c r="CG16" t="s">
        <v>35</v>
      </c>
      <c r="DA16">
        <f t="shared" si="5"/>
        <v>0</v>
      </c>
      <c r="DF16" t="s">
        <v>33</v>
      </c>
      <c r="DZ16">
        <f t="shared" si="10"/>
        <v>0</v>
      </c>
      <c r="EC16" t="s">
        <v>22</v>
      </c>
      <c r="EN16">
        <v>4</v>
      </c>
      <c r="FC16">
        <f t="shared" si="6"/>
        <v>4</v>
      </c>
      <c r="FF16" t="s">
        <v>22</v>
      </c>
      <c r="GE16">
        <f t="shared" si="1"/>
        <v>0</v>
      </c>
      <c r="GH16" t="s">
        <v>22</v>
      </c>
      <c r="HF16">
        <f t="shared" si="7"/>
        <v>0</v>
      </c>
      <c r="HI16" t="s">
        <v>35</v>
      </c>
      <c r="ID16">
        <f t="shared" si="8"/>
        <v>0</v>
      </c>
      <c r="IG16" t="s">
        <v>33</v>
      </c>
      <c r="IR16">
        <v>23</v>
      </c>
      <c r="IV16">
        <v>1</v>
      </c>
      <c r="IZ16">
        <v>6</v>
      </c>
      <c r="JA16">
        <f t="shared" si="9"/>
        <v>30</v>
      </c>
    </row>
    <row r="17" spans="2:261" ht="14.25" x14ac:dyDescent="0.45">
      <c r="B17" t="s">
        <v>27</v>
      </c>
      <c r="Q17">
        <f t="shared" si="0"/>
        <v>0</v>
      </c>
      <c r="T17" t="s">
        <v>27</v>
      </c>
      <c r="AJ17">
        <f t="shared" si="2"/>
        <v>0</v>
      </c>
      <c r="AM17" t="s">
        <v>26</v>
      </c>
      <c r="BD17">
        <f t="shared" si="3"/>
        <v>0</v>
      </c>
      <c r="BH17" t="s">
        <v>33</v>
      </c>
      <c r="CD17">
        <f t="shared" si="4"/>
        <v>0</v>
      </c>
      <c r="CG17" t="s">
        <v>33</v>
      </c>
      <c r="DA17">
        <f t="shared" si="5"/>
        <v>0</v>
      </c>
      <c r="DF17" t="s">
        <v>25</v>
      </c>
      <c r="DH17">
        <v>105</v>
      </c>
      <c r="DJ17">
        <v>1</v>
      </c>
      <c r="DM17">
        <v>2</v>
      </c>
      <c r="DN17">
        <v>15</v>
      </c>
      <c r="DP17">
        <v>2</v>
      </c>
      <c r="DS17">
        <v>3</v>
      </c>
      <c r="DU17">
        <v>5</v>
      </c>
      <c r="DY17">
        <v>992</v>
      </c>
      <c r="DZ17">
        <f t="shared" si="10"/>
        <v>1125</v>
      </c>
      <c r="EC17" t="s">
        <v>23</v>
      </c>
      <c r="EO17">
        <v>2</v>
      </c>
      <c r="FC17">
        <f t="shared" si="6"/>
        <v>2</v>
      </c>
      <c r="FF17" t="s">
        <v>23</v>
      </c>
      <c r="GE17">
        <f t="shared" si="1"/>
        <v>0</v>
      </c>
      <c r="GH17" t="s">
        <v>23</v>
      </c>
      <c r="HF17">
        <f t="shared" si="7"/>
        <v>0</v>
      </c>
      <c r="HI17" t="s">
        <v>33</v>
      </c>
      <c r="ID17">
        <f t="shared" si="8"/>
        <v>0</v>
      </c>
      <c r="IG17" t="s">
        <v>25</v>
      </c>
      <c r="IJ17">
        <v>13</v>
      </c>
      <c r="IK17">
        <v>1</v>
      </c>
      <c r="IL17">
        <v>3</v>
      </c>
      <c r="IM17">
        <v>2</v>
      </c>
      <c r="IN17">
        <v>5</v>
      </c>
      <c r="IO17">
        <v>1</v>
      </c>
      <c r="IS17">
        <v>1</v>
      </c>
      <c r="IU17">
        <v>10</v>
      </c>
      <c r="IX17">
        <v>1</v>
      </c>
      <c r="IY17">
        <v>25</v>
      </c>
      <c r="IZ17">
        <v>81</v>
      </c>
      <c r="JA17">
        <f t="shared" si="9"/>
        <v>143</v>
      </c>
    </row>
    <row r="18" spans="2:261" ht="14.25" x14ac:dyDescent="0.45">
      <c r="B18" t="s">
        <v>28</v>
      </c>
      <c r="Q18">
        <f t="shared" si="0"/>
        <v>0</v>
      </c>
      <c r="T18" t="s">
        <v>28</v>
      </c>
      <c r="AJ18">
        <f t="shared" si="2"/>
        <v>0</v>
      </c>
      <c r="AM18" t="s">
        <v>27</v>
      </c>
      <c r="BD18">
        <f t="shared" si="3"/>
        <v>0</v>
      </c>
      <c r="BH18" t="s">
        <v>25</v>
      </c>
      <c r="BJ18">
        <v>49</v>
      </c>
      <c r="BK18">
        <v>4</v>
      </c>
      <c r="BL18">
        <v>2</v>
      </c>
      <c r="BM18">
        <v>24</v>
      </c>
      <c r="BO18">
        <v>2</v>
      </c>
      <c r="BP18">
        <v>12</v>
      </c>
      <c r="BQ18">
        <v>57</v>
      </c>
      <c r="BR18">
        <v>7</v>
      </c>
      <c r="BU18">
        <v>5</v>
      </c>
      <c r="BV18">
        <v>7</v>
      </c>
      <c r="BW18">
        <v>5</v>
      </c>
      <c r="BY18">
        <v>1</v>
      </c>
      <c r="CA18">
        <v>1</v>
      </c>
      <c r="CB18">
        <v>180</v>
      </c>
      <c r="CC18">
        <v>1</v>
      </c>
      <c r="CD18">
        <f t="shared" si="4"/>
        <v>357</v>
      </c>
      <c r="CG18" t="s">
        <v>25</v>
      </c>
      <c r="CK18">
        <v>1</v>
      </c>
      <c r="CT18">
        <v>1</v>
      </c>
      <c r="CZ18">
        <v>13</v>
      </c>
      <c r="DA18">
        <f t="shared" si="5"/>
        <v>15</v>
      </c>
      <c r="DF18" t="s">
        <v>24</v>
      </c>
      <c r="DZ18">
        <f t="shared" si="10"/>
        <v>0</v>
      </c>
      <c r="EC18" t="s">
        <v>35</v>
      </c>
      <c r="FC18">
        <f t="shared" si="6"/>
        <v>0</v>
      </c>
      <c r="FF18" t="s">
        <v>35</v>
      </c>
      <c r="GE18">
        <f t="shared" si="1"/>
        <v>0</v>
      </c>
      <c r="GH18" t="s">
        <v>35</v>
      </c>
      <c r="HF18">
        <f t="shared" si="7"/>
        <v>0</v>
      </c>
      <c r="HI18" t="s">
        <v>25</v>
      </c>
      <c r="HL18">
        <v>8</v>
      </c>
      <c r="HO18">
        <v>2</v>
      </c>
      <c r="HQ18">
        <v>26</v>
      </c>
      <c r="HR18">
        <v>42</v>
      </c>
      <c r="HS18">
        <v>7</v>
      </c>
      <c r="HT18">
        <v>1</v>
      </c>
      <c r="HV18">
        <v>44</v>
      </c>
      <c r="HX18">
        <v>2</v>
      </c>
      <c r="HY18">
        <v>1</v>
      </c>
      <c r="HZ18">
        <v>41</v>
      </c>
      <c r="IA18">
        <v>20</v>
      </c>
      <c r="IC18">
        <v>342</v>
      </c>
      <c r="ID18">
        <f t="shared" si="8"/>
        <v>536</v>
      </c>
      <c r="IG18" t="s">
        <v>24</v>
      </c>
      <c r="IT18">
        <v>86</v>
      </c>
      <c r="JA18">
        <f t="shared" si="9"/>
        <v>86</v>
      </c>
    </row>
    <row r="19" spans="2:261" ht="14.25" x14ac:dyDescent="0.45">
      <c r="B19" t="s">
        <v>29</v>
      </c>
      <c r="Q19">
        <f t="shared" si="0"/>
        <v>0</v>
      </c>
      <c r="T19" t="s">
        <v>29</v>
      </c>
      <c r="AH19">
        <v>1</v>
      </c>
      <c r="AJ19">
        <f t="shared" si="2"/>
        <v>1</v>
      </c>
      <c r="AM19" t="s">
        <v>28</v>
      </c>
      <c r="BD19">
        <f t="shared" si="3"/>
        <v>0</v>
      </c>
      <c r="BH19" t="s">
        <v>24</v>
      </c>
      <c r="CD19">
        <f t="shared" si="4"/>
        <v>0</v>
      </c>
      <c r="CG19" t="s">
        <v>24</v>
      </c>
      <c r="CU19">
        <v>9</v>
      </c>
      <c r="DA19">
        <f t="shared" si="5"/>
        <v>9</v>
      </c>
      <c r="DF19" t="s">
        <v>31</v>
      </c>
      <c r="DZ19">
        <f t="shared" si="10"/>
        <v>0</v>
      </c>
      <c r="EC19" t="s">
        <v>33</v>
      </c>
      <c r="EQ19">
        <v>54</v>
      </c>
      <c r="EU19">
        <v>2</v>
      </c>
      <c r="FA19">
        <v>6</v>
      </c>
      <c r="FC19">
        <f t="shared" si="6"/>
        <v>62</v>
      </c>
      <c r="FF19" t="s">
        <v>33</v>
      </c>
      <c r="GE19">
        <f t="shared" si="1"/>
        <v>0</v>
      </c>
      <c r="GH19" t="s">
        <v>33</v>
      </c>
      <c r="HF19">
        <f t="shared" si="7"/>
        <v>0</v>
      </c>
      <c r="HI19" t="s">
        <v>24</v>
      </c>
      <c r="HW19">
        <v>7</v>
      </c>
      <c r="ID19">
        <f t="shared" si="8"/>
        <v>7</v>
      </c>
      <c r="IG19" t="s">
        <v>31</v>
      </c>
      <c r="IK19">
        <v>1</v>
      </c>
      <c r="IN19">
        <v>2</v>
      </c>
      <c r="IU19">
        <v>53</v>
      </c>
      <c r="IV19">
        <v>2</v>
      </c>
      <c r="IY19">
        <v>1</v>
      </c>
      <c r="IZ19">
        <v>2</v>
      </c>
      <c r="JA19">
        <f t="shared" si="9"/>
        <v>61</v>
      </c>
    </row>
    <row r="20" spans="2:261" ht="14.25" x14ac:dyDescent="0.45">
      <c r="T20" t="s">
        <v>41</v>
      </c>
      <c r="AJ20">
        <f t="shared" si="2"/>
        <v>0</v>
      </c>
      <c r="AM20" t="s">
        <v>34</v>
      </c>
      <c r="BD20">
        <f t="shared" si="3"/>
        <v>0</v>
      </c>
      <c r="BH20" t="s">
        <v>31</v>
      </c>
      <c r="CD20">
        <f t="shared" si="4"/>
        <v>0</v>
      </c>
      <c r="CG20" t="s">
        <v>31</v>
      </c>
      <c r="CV20">
        <v>2</v>
      </c>
      <c r="DA20">
        <f t="shared" si="5"/>
        <v>2</v>
      </c>
      <c r="DF20" t="s">
        <v>26</v>
      </c>
      <c r="DZ20">
        <f t="shared" si="10"/>
        <v>0</v>
      </c>
      <c r="EC20" t="s">
        <v>25</v>
      </c>
      <c r="EE20">
        <v>3</v>
      </c>
      <c r="EF20">
        <v>10</v>
      </c>
      <c r="EG20">
        <v>1</v>
      </c>
      <c r="EH20">
        <v>3</v>
      </c>
      <c r="EJ20">
        <v>1</v>
      </c>
      <c r="EM20">
        <v>9</v>
      </c>
      <c r="EN20">
        <v>1</v>
      </c>
      <c r="ER20">
        <v>4</v>
      </c>
      <c r="ET20">
        <v>8</v>
      </c>
      <c r="EU20">
        <v>6</v>
      </c>
      <c r="EW20">
        <v>2</v>
      </c>
      <c r="EX20">
        <v>19</v>
      </c>
      <c r="FA20">
        <v>155</v>
      </c>
      <c r="FC20">
        <f t="shared" si="6"/>
        <v>222</v>
      </c>
      <c r="FF20" t="s">
        <v>25</v>
      </c>
      <c r="FI20">
        <v>6</v>
      </c>
      <c r="FP20">
        <v>1</v>
      </c>
      <c r="FY20">
        <v>1</v>
      </c>
      <c r="GC20">
        <v>17</v>
      </c>
      <c r="GE20">
        <f t="shared" si="1"/>
        <v>25</v>
      </c>
      <c r="GH20" t="s">
        <v>25</v>
      </c>
      <c r="HE20">
        <v>2</v>
      </c>
      <c r="HF20">
        <f t="shared" si="7"/>
        <v>2</v>
      </c>
      <c r="HI20" t="s">
        <v>31</v>
      </c>
      <c r="ID20">
        <f t="shared" si="8"/>
        <v>0</v>
      </c>
      <c r="IG20" t="s">
        <v>26</v>
      </c>
      <c r="IV20">
        <v>94</v>
      </c>
      <c r="IZ20">
        <v>4</v>
      </c>
      <c r="JA20">
        <f t="shared" si="9"/>
        <v>98</v>
      </c>
    </row>
    <row r="21" spans="2:261" ht="14.25" x14ac:dyDescent="0.45">
      <c r="AM21" t="s">
        <v>29</v>
      </c>
      <c r="BC21">
        <v>4</v>
      </c>
      <c r="BD21">
        <f t="shared" si="3"/>
        <v>4</v>
      </c>
      <c r="BH21" t="s">
        <v>26</v>
      </c>
      <c r="BN21">
        <v>1</v>
      </c>
      <c r="BP21">
        <v>43</v>
      </c>
      <c r="BQ21">
        <v>11</v>
      </c>
      <c r="BR21">
        <v>1</v>
      </c>
      <c r="BT21">
        <v>5</v>
      </c>
      <c r="BU21">
        <v>2</v>
      </c>
      <c r="BX21">
        <v>43</v>
      </c>
      <c r="CB21">
        <v>19</v>
      </c>
      <c r="CD21">
        <f t="shared" si="4"/>
        <v>125</v>
      </c>
      <c r="CG21" t="s">
        <v>26</v>
      </c>
      <c r="CO21">
        <v>5</v>
      </c>
      <c r="CQ21">
        <v>1</v>
      </c>
      <c r="CW21">
        <v>77</v>
      </c>
      <c r="CX21">
        <v>2</v>
      </c>
      <c r="CZ21">
        <v>36</v>
      </c>
      <c r="DA21">
        <f t="shared" si="5"/>
        <v>121</v>
      </c>
      <c r="DF21" t="s">
        <v>27</v>
      </c>
      <c r="DZ21">
        <f t="shared" si="10"/>
        <v>0</v>
      </c>
      <c r="EC21" t="s">
        <v>24</v>
      </c>
      <c r="ES21">
        <v>121</v>
      </c>
      <c r="FC21">
        <f t="shared" si="6"/>
        <v>121</v>
      </c>
      <c r="FF21" t="s">
        <v>24</v>
      </c>
      <c r="FV21">
        <v>10</v>
      </c>
      <c r="GE21">
        <f t="shared" si="1"/>
        <v>10</v>
      </c>
      <c r="GH21" t="s">
        <v>24</v>
      </c>
      <c r="GX21">
        <v>10</v>
      </c>
      <c r="HF21">
        <f t="shared" si="7"/>
        <v>10</v>
      </c>
      <c r="HI21" t="s">
        <v>26</v>
      </c>
      <c r="HY21">
        <v>1</v>
      </c>
      <c r="HZ21">
        <v>3</v>
      </c>
      <c r="ID21">
        <f t="shared" si="8"/>
        <v>4</v>
      </c>
      <c r="IG21" t="s">
        <v>138</v>
      </c>
      <c r="JA21">
        <f t="shared" si="9"/>
        <v>0</v>
      </c>
    </row>
    <row r="22" spans="2:261" ht="14.25" x14ac:dyDescent="0.45">
      <c r="BH22" t="s">
        <v>27</v>
      </c>
      <c r="CD22">
        <f t="shared" si="4"/>
        <v>0</v>
      </c>
      <c r="CG22" t="s">
        <v>27</v>
      </c>
      <c r="DA22">
        <f t="shared" si="5"/>
        <v>0</v>
      </c>
      <c r="DF22" t="s">
        <v>28</v>
      </c>
      <c r="DZ22">
        <f t="shared" si="10"/>
        <v>0</v>
      </c>
      <c r="EC22" t="s">
        <v>31</v>
      </c>
      <c r="EM22">
        <v>10</v>
      </c>
      <c r="EP22">
        <v>1</v>
      </c>
      <c r="ET22">
        <v>149</v>
      </c>
      <c r="EU22">
        <v>3</v>
      </c>
      <c r="EX22">
        <v>2</v>
      </c>
      <c r="FA22">
        <v>10</v>
      </c>
      <c r="FC22">
        <f t="shared" si="6"/>
        <v>175</v>
      </c>
      <c r="FF22" t="s">
        <v>31</v>
      </c>
      <c r="GE22">
        <f t="shared" si="1"/>
        <v>0</v>
      </c>
      <c r="GH22" t="s">
        <v>31</v>
      </c>
      <c r="HF22">
        <f t="shared" si="7"/>
        <v>0</v>
      </c>
      <c r="HI22" t="s">
        <v>27</v>
      </c>
      <c r="ID22">
        <f t="shared" si="8"/>
        <v>0</v>
      </c>
      <c r="IG22" t="s">
        <v>43</v>
      </c>
      <c r="JA22">
        <f t="shared" si="9"/>
        <v>0</v>
      </c>
    </row>
    <row r="23" spans="2:261" ht="14.25" x14ac:dyDescent="0.45">
      <c r="BH23" t="s">
        <v>28</v>
      </c>
      <c r="CD23">
        <f t="shared" si="4"/>
        <v>0</v>
      </c>
      <c r="CG23" t="s">
        <v>28</v>
      </c>
      <c r="DA23">
        <f t="shared" si="5"/>
        <v>0</v>
      </c>
      <c r="DF23" t="s">
        <v>34</v>
      </c>
      <c r="DZ23">
        <f t="shared" si="10"/>
        <v>0</v>
      </c>
      <c r="EC23" t="s">
        <v>26</v>
      </c>
      <c r="EP23">
        <v>1</v>
      </c>
      <c r="ET23">
        <v>1</v>
      </c>
      <c r="EU23">
        <v>272</v>
      </c>
      <c r="FA23">
        <v>6</v>
      </c>
      <c r="FC23">
        <f t="shared" si="6"/>
        <v>280</v>
      </c>
      <c r="FF23" t="s">
        <v>26</v>
      </c>
      <c r="FX23">
        <v>5</v>
      </c>
      <c r="GE23">
        <f t="shared" si="1"/>
        <v>5</v>
      </c>
      <c r="GH23" t="s">
        <v>26</v>
      </c>
      <c r="HF23">
        <f t="shared" si="7"/>
        <v>0</v>
      </c>
      <c r="HI23" t="s">
        <v>28</v>
      </c>
      <c r="ID23">
        <f t="shared" si="8"/>
        <v>0</v>
      </c>
      <c r="IG23" t="s">
        <v>27</v>
      </c>
      <c r="JA23">
        <f t="shared" si="9"/>
        <v>0</v>
      </c>
    </row>
    <row r="24" spans="2:261" ht="14.25" x14ac:dyDescent="0.45">
      <c r="BH24" t="s">
        <v>34</v>
      </c>
      <c r="CD24">
        <f t="shared" si="4"/>
        <v>0</v>
      </c>
      <c r="CG24" t="s">
        <v>29</v>
      </c>
      <c r="CO24">
        <v>2</v>
      </c>
      <c r="CZ24">
        <v>2</v>
      </c>
      <c r="DA24">
        <f t="shared" si="5"/>
        <v>4</v>
      </c>
      <c r="DF24" t="s">
        <v>29</v>
      </c>
      <c r="DY24">
        <v>1</v>
      </c>
      <c r="DZ24">
        <f t="shared" si="10"/>
        <v>1</v>
      </c>
      <c r="EC24" t="s">
        <v>138</v>
      </c>
      <c r="FC24">
        <f t="shared" si="6"/>
        <v>0</v>
      </c>
      <c r="FF24" t="s">
        <v>43</v>
      </c>
      <c r="GE24">
        <f t="shared" si="1"/>
        <v>0</v>
      </c>
      <c r="GH24" t="s">
        <v>43</v>
      </c>
      <c r="HF24">
        <f t="shared" si="7"/>
        <v>0</v>
      </c>
      <c r="HI24" t="s">
        <v>34</v>
      </c>
      <c r="ID24">
        <f t="shared" si="8"/>
        <v>0</v>
      </c>
      <c r="IG24" t="s">
        <v>29</v>
      </c>
      <c r="IL24">
        <v>1</v>
      </c>
      <c r="IM24">
        <v>1</v>
      </c>
      <c r="IN24">
        <v>1</v>
      </c>
      <c r="IO24">
        <v>1</v>
      </c>
      <c r="IP24">
        <v>2</v>
      </c>
      <c r="IS24">
        <v>1</v>
      </c>
      <c r="IT24">
        <v>2</v>
      </c>
      <c r="IU24">
        <v>3</v>
      </c>
      <c r="IV24">
        <v>3</v>
      </c>
      <c r="IY24">
        <v>1</v>
      </c>
      <c r="IZ24">
        <v>14</v>
      </c>
      <c r="JA24">
        <f t="shared" si="9"/>
        <v>30</v>
      </c>
    </row>
    <row r="25" spans="2:261" ht="14.25" x14ac:dyDescent="0.45">
      <c r="BH25" t="s">
        <v>29</v>
      </c>
      <c r="BL25">
        <v>3</v>
      </c>
      <c r="BP25">
        <v>24</v>
      </c>
      <c r="BQ25">
        <v>13</v>
      </c>
      <c r="BS25">
        <v>15</v>
      </c>
      <c r="BV25">
        <v>7</v>
      </c>
      <c r="BW25">
        <v>1</v>
      </c>
      <c r="BX25">
        <v>2</v>
      </c>
      <c r="CB25">
        <v>82</v>
      </c>
      <c r="CD25">
        <f t="shared" si="4"/>
        <v>147</v>
      </c>
      <c r="EC25" t="s">
        <v>43</v>
      </c>
      <c r="FC25">
        <f t="shared" si="6"/>
        <v>0</v>
      </c>
      <c r="FF25" t="s">
        <v>27</v>
      </c>
      <c r="GE25">
        <f t="shared" si="1"/>
        <v>0</v>
      </c>
      <c r="GH25" t="s">
        <v>27</v>
      </c>
      <c r="HF25">
        <f t="shared" si="7"/>
        <v>0</v>
      </c>
      <c r="HI25" t="s">
        <v>29</v>
      </c>
      <c r="HQ25">
        <v>1</v>
      </c>
      <c r="HR25">
        <v>1</v>
      </c>
      <c r="HU25">
        <v>1</v>
      </c>
      <c r="HY25">
        <v>3</v>
      </c>
      <c r="IA25">
        <v>1</v>
      </c>
      <c r="IC25">
        <v>9</v>
      </c>
      <c r="ID25">
        <f t="shared" si="8"/>
        <v>16</v>
      </c>
    </row>
    <row r="26" spans="2:261" ht="14.25" x14ac:dyDescent="0.45">
      <c r="BH26" t="s">
        <v>42</v>
      </c>
      <c r="CD26">
        <f t="shared" si="4"/>
        <v>0</v>
      </c>
      <c r="EC26" t="s">
        <v>27</v>
      </c>
      <c r="FC26">
        <f t="shared" si="6"/>
        <v>0</v>
      </c>
      <c r="FF26" t="s">
        <v>28</v>
      </c>
      <c r="GE26">
        <f t="shared" si="1"/>
        <v>0</v>
      </c>
      <c r="GH26" t="s">
        <v>28</v>
      </c>
      <c r="HF26">
        <f t="shared" si="7"/>
        <v>0</v>
      </c>
    </row>
    <row r="27" spans="2:261" ht="15" customHeight="1" x14ac:dyDescent="0.45">
      <c r="EC27" t="s">
        <v>28</v>
      </c>
      <c r="FC27">
        <f t="shared" si="6"/>
        <v>0</v>
      </c>
      <c r="FF27" t="s">
        <v>34</v>
      </c>
      <c r="GE27">
        <f t="shared" si="1"/>
        <v>0</v>
      </c>
      <c r="GH27" t="s">
        <v>34</v>
      </c>
      <c r="HF27">
        <f t="shared" si="7"/>
        <v>0</v>
      </c>
    </row>
    <row r="28" spans="2:261" ht="15" customHeight="1" x14ac:dyDescent="0.45">
      <c r="EC28" t="s">
        <v>34</v>
      </c>
      <c r="FC28">
        <f t="shared" si="6"/>
        <v>0</v>
      </c>
      <c r="FF28" t="s">
        <v>29</v>
      </c>
      <c r="FI28">
        <v>1</v>
      </c>
      <c r="FM28">
        <v>1</v>
      </c>
      <c r="FV28">
        <v>2</v>
      </c>
      <c r="FX28">
        <v>3</v>
      </c>
      <c r="FZ28">
        <v>1</v>
      </c>
      <c r="GC28">
        <v>6</v>
      </c>
      <c r="GE28">
        <f t="shared" si="1"/>
        <v>14</v>
      </c>
      <c r="GH28" t="s">
        <v>29</v>
      </c>
      <c r="GX28">
        <v>1</v>
      </c>
      <c r="HE28">
        <v>2</v>
      </c>
      <c r="HF28">
        <f t="shared" si="7"/>
        <v>3</v>
      </c>
    </row>
    <row r="29" spans="2:261" ht="15" customHeight="1" x14ac:dyDescent="0.45">
      <c r="EC29" t="s">
        <v>29</v>
      </c>
      <c r="EG29">
        <v>1</v>
      </c>
      <c r="EH29">
        <v>5</v>
      </c>
      <c r="EJ29">
        <v>1</v>
      </c>
      <c r="EM29">
        <v>3</v>
      </c>
      <c r="EN29">
        <v>1</v>
      </c>
      <c r="EO29">
        <v>2</v>
      </c>
      <c r="ER29">
        <v>1</v>
      </c>
      <c r="ES29">
        <v>2</v>
      </c>
      <c r="ET29">
        <v>1</v>
      </c>
      <c r="EU29">
        <v>7</v>
      </c>
      <c r="EX29">
        <v>7</v>
      </c>
      <c r="FA29">
        <v>24</v>
      </c>
      <c r="FB29">
        <v>1</v>
      </c>
      <c r="FC29">
        <f t="shared" si="6"/>
        <v>56</v>
      </c>
      <c r="FF29" t="s">
        <v>42</v>
      </c>
      <c r="GE29">
        <f t="shared" si="1"/>
        <v>0</v>
      </c>
    </row>
    <row r="30" spans="2:261" ht="15" customHeight="1" x14ac:dyDescent="0.45">
      <c r="EC30" t="s">
        <v>42</v>
      </c>
    </row>
    <row r="33" spans="138:138" ht="15" customHeight="1" x14ac:dyDescent="0.45">
      <c r="EH33" t="s">
        <v>139</v>
      </c>
    </row>
    <row r="34" spans="138:138" ht="15" customHeight="1" x14ac:dyDescent="0.45">
      <c r="EH34" t="s">
        <v>140</v>
      </c>
    </row>
    <row r="35" spans="138:138" ht="15" customHeight="1" x14ac:dyDescent="0.45">
      <c r="EH35" t="s">
        <v>141</v>
      </c>
    </row>
    <row r="36" spans="138:138" ht="15" customHeight="1" x14ac:dyDescent="0.45">
      <c r="EH36" t="s">
        <v>142</v>
      </c>
    </row>
    <row r="37" spans="138:138" ht="15" customHeight="1" x14ac:dyDescent="0.45">
      <c r="EH37" t="s">
        <v>143</v>
      </c>
    </row>
  </sheetData>
  <mergeCells count="11">
    <mergeCell ref="EF4:EG4"/>
    <mergeCell ref="FH4:FI4"/>
    <mergeCell ref="HK4:HL4"/>
    <mergeCell ref="II4:IJ4"/>
    <mergeCell ref="A6:A7"/>
    <mergeCell ref="E4:H4"/>
    <mergeCell ref="V4:W4"/>
    <mergeCell ref="AO4:AP4"/>
    <mergeCell ref="BL4:BM4"/>
    <mergeCell ref="CL4:CN4"/>
    <mergeCell ref="DI4:DJ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F5808-9C5A-46F5-8F3C-04164400CEF8}">
  <dimension ref="A1:V14"/>
  <sheetViews>
    <sheetView workbookViewId="0">
      <selection activeCell="D4" sqref="D4"/>
    </sheetView>
  </sheetViews>
  <sheetFormatPr defaultRowHeight="14.25" x14ac:dyDescent="0.45"/>
  <sheetData>
    <row r="1" spans="1:22" x14ac:dyDescent="0.45">
      <c r="A1" t="s">
        <v>44</v>
      </c>
    </row>
    <row r="3" spans="1:22" x14ac:dyDescent="0.45">
      <c r="A3" t="s">
        <v>1</v>
      </c>
      <c r="C3" t="s">
        <v>2</v>
      </c>
      <c r="E3" t="s">
        <v>3</v>
      </c>
      <c r="G3" t="s">
        <v>4</v>
      </c>
      <c r="I3" t="s">
        <v>5</v>
      </c>
      <c r="K3" t="s">
        <v>6</v>
      </c>
      <c r="M3" t="s">
        <v>7</v>
      </c>
      <c r="O3" t="s">
        <v>8</v>
      </c>
      <c r="Q3" t="s">
        <v>9</v>
      </c>
      <c r="S3" t="s">
        <v>10</v>
      </c>
      <c r="U3" t="s">
        <v>11</v>
      </c>
    </row>
    <row r="4" spans="1:22" x14ac:dyDescent="0.45">
      <c r="A4" t="s">
        <v>144</v>
      </c>
      <c r="C4" t="s">
        <v>145</v>
      </c>
      <c r="E4" t="s">
        <v>146</v>
      </c>
      <c r="G4" t="s">
        <v>147</v>
      </c>
      <c r="I4" t="s">
        <v>148</v>
      </c>
      <c r="K4" t="s">
        <v>149</v>
      </c>
      <c r="M4" t="s">
        <v>150</v>
      </c>
      <c r="O4" t="s">
        <v>151</v>
      </c>
      <c r="Q4" t="s">
        <v>144</v>
      </c>
      <c r="S4" t="s">
        <v>152</v>
      </c>
      <c r="U4" t="s">
        <v>116</v>
      </c>
    </row>
    <row r="5" spans="1:22" x14ac:dyDescent="0.45">
      <c r="G5" t="s">
        <v>153</v>
      </c>
      <c r="I5" t="s">
        <v>154</v>
      </c>
      <c r="K5" t="s">
        <v>155</v>
      </c>
      <c r="U5" t="s">
        <v>156</v>
      </c>
    </row>
    <row r="6" spans="1:22" x14ac:dyDescent="0.45">
      <c r="G6" t="s">
        <v>157</v>
      </c>
      <c r="I6" t="s">
        <v>158</v>
      </c>
      <c r="K6" t="s">
        <v>70</v>
      </c>
      <c r="U6" t="s">
        <v>159</v>
      </c>
    </row>
    <row r="7" spans="1:22" x14ac:dyDescent="0.45">
      <c r="G7" t="s">
        <v>160</v>
      </c>
      <c r="I7" t="s">
        <v>161</v>
      </c>
      <c r="K7" t="s">
        <v>160</v>
      </c>
      <c r="U7" t="s">
        <v>162</v>
      </c>
      <c r="V7" t="s">
        <v>17</v>
      </c>
    </row>
    <row r="8" spans="1:22" x14ac:dyDescent="0.45">
      <c r="G8" t="s">
        <v>163</v>
      </c>
      <c r="I8" t="s">
        <v>164</v>
      </c>
      <c r="K8" t="s">
        <v>156</v>
      </c>
      <c r="U8" t="s">
        <v>165</v>
      </c>
    </row>
    <row r="9" spans="1:22" x14ac:dyDescent="0.45">
      <c r="K9" t="s">
        <v>166</v>
      </c>
      <c r="U9" t="s">
        <v>167</v>
      </c>
    </row>
    <row r="10" spans="1:22" x14ac:dyDescent="0.45">
      <c r="U10" t="s">
        <v>168</v>
      </c>
    </row>
    <row r="11" spans="1:22" x14ac:dyDescent="0.45">
      <c r="U11" t="s">
        <v>148</v>
      </c>
    </row>
    <row r="12" spans="1:22" x14ac:dyDescent="0.45">
      <c r="U12" t="s">
        <v>169</v>
      </c>
    </row>
    <row r="13" spans="1:22" x14ac:dyDescent="0.45">
      <c r="U13" t="s">
        <v>170</v>
      </c>
    </row>
    <row r="14" spans="1:22" x14ac:dyDescent="0.45">
      <c r="U14" t="s">
        <v>171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09B21-F71A-46BE-9A0E-52BDF911A7CB}">
  <dimension ref="A1:JC37"/>
  <sheetViews>
    <sheetView topLeftCell="IO1" zoomScale="80" zoomScaleNormal="80" workbookViewId="0">
      <selection activeCell="IH5" sqref="IH5:JC25"/>
    </sheetView>
  </sheetViews>
  <sheetFormatPr defaultRowHeight="15" customHeight="1" x14ac:dyDescent="0.45"/>
  <cols>
    <col min="1" max="1" width="5.73046875" bestFit="1" customWidth="1"/>
    <col min="2" max="2" width="13.86328125" bestFit="1" customWidth="1"/>
    <col min="3" max="3" width="7.1328125" bestFit="1" customWidth="1"/>
    <col min="4" max="4" width="4.73046875" bestFit="1" customWidth="1"/>
    <col min="5" max="5" width="5.1328125" bestFit="1" customWidth="1"/>
    <col min="6" max="6" width="7.265625" bestFit="1" customWidth="1"/>
    <col min="7" max="7" width="6.73046875" bestFit="1" customWidth="1"/>
    <col min="8" max="8" width="7.265625" bestFit="1" customWidth="1"/>
    <col min="9" max="9" width="5.265625" bestFit="1" customWidth="1"/>
    <col min="10" max="10" width="4.59765625" bestFit="1" customWidth="1"/>
    <col min="11" max="11" width="7.1328125" bestFit="1" customWidth="1"/>
    <col min="12" max="12" width="12.86328125" bestFit="1" customWidth="1"/>
    <col min="13" max="13" width="8.59765625" bestFit="1" customWidth="1"/>
    <col min="14" max="14" width="7.3984375" bestFit="1" customWidth="1"/>
    <col min="15" max="15" width="6.265625" bestFit="1" customWidth="1"/>
    <col min="16" max="16" width="12" bestFit="1" customWidth="1"/>
    <col min="17" max="17" width="4.73046875" bestFit="1" customWidth="1"/>
    <col min="18" max="18" width="8" customWidth="1"/>
    <col min="19" max="19" width="5.73046875" bestFit="1" customWidth="1"/>
    <col min="20" max="20" width="12.3984375" bestFit="1" customWidth="1"/>
    <col min="21" max="21" width="4.73046875" bestFit="1" customWidth="1"/>
    <col min="22" max="22" width="5.1328125" bestFit="1" customWidth="1"/>
    <col min="23" max="23" width="7.265625" bestFit="1" customWidth="1"/>
    <col min="24" max="24" width="6.73046875" bestFit="1" customWidth="1"/>
    <col min="25" max="25" width="7.265625" bestFit="1" customWidth="1"/>
    <col min="26" max="26" width="5.265625" bestFit="1" customWidth="1"/>
    <col min="27" max="27" width="4.59765625" bestFit="1" customWidth="1"/>
    <col min="28" max="28" width="12.86328125" bestFit="1" customWidth="1"/>
    <col min="29" max="29" width="7.1328125" bestFit="1" customWidth="1"/>
    <col min="30" max="30" width="6.86328125" bestFit="1" customWidth="1"/>
    <col min="31" max="31" width="8.59765625" bestFit="1" customWidth="1"/>
    <col min="32" max="32" width="7.3984375" bestFit="1" customWidth="1"/>
    <col min="33" max="33" width="6.265625" bestFit="1" customWidth="1"/>
    <col min="34" max="34" width="12" bestFit="1" customWidth="1"/>
    <col min="35" max="35" width="9.59765625" bestFit="1" customWidth="1"/>
    <col min="36" max="36" width="4.86328125" bestFit="1" customWidth="1"/>
    <col min="37" max="37" width="4.86328125" customWidth="1"/>
    <col min="38" max="38" width="5.73046875" bestFit="1" customWidth="1"/>
    <col min="39" max="39" width="12.3984375" bestFit="1" customWidth="1"/>
    <col min="40" max="40" width="4" bestFit="1" customWidth="1"/>
    <col min="41" max="41" width="4.3984375" bestFit="1" customWidth="1"/>
    <col min="42" max="42" width="6.265625" bestFit="1" customWidth="1"/>
    <col min="43" max="43" width="5.73046875" bestFit="1" customWidth="1"/>
    <col min="44" max="44" width="6.1328125" bestFit="1" customWidth="1"/>
    <col min="45" max="45" width="4.3984375" bestFit="1" customWidth="1"/>
    <col min="46" max="46" width="3.86328125" bestFit="1" customWidth="1"/>
    <col min="47" max="47" width="8" bestFit="1" customWidth="1"/>
    <col min="48" max="48" width="11.1328125" bestFit="1" customWidth="1"/>
    <col min="49" max="49" width="6" bestFit="1" customWidth="1"/>
    <col min="50" max="50" width="5.86328125" bestFit="1" customWidth="1"/>
    <col min="51" max="51" width="7.265625" bestFit="1" customWidth="1"/>
    <col min="52" max="52" width="6.3984375" bestFit="1" customWidth="1"/>
    <col min="53" max="53" width="5.265625" bestFit="1" customWidth="1"/>
    <col min="54" max="54" width="6.86328125" bestFit="1" customWidth="1"/>
    <col min="55" max="55" width="10.59765625" bestFit="1" customWidth="1"/>
    <col min="56" max="57" width="9.265625" customWidth="1"/>
    <col min="60" max="60" width="14.265625" bestFit="1" customWidth="1"/>
    <col min="61" max="61" width="7.1328125" bestFit="1" customWidth="1"/>
    <col min="62" max="62" width="4.73046875" bestFit="1" customWidth="1"/>
    <col min="63" max="63" width="5.1328125" bestFit="1" customWidth="1"/>
    <col min="64" max="64" width="7.265625" bestFit="1" customWidth="1"/>
    <col min="65" max="65" width="6.73046875" bestFit="1" customWidth="1"/>
    <col min="66" max="67" width="6.73046875" customWidth="1"/>
    <col min="68" max="68" width="7.265625" bestFit="1" customWidth="1"/>
    <col min="69" max="69" width="5.265625" bestFit="1" customWidth="1"/>
    <col min="70" max="70" width="4.59765625" bestFit="1" customWidth="1"/>
    <col min="71" max="71" width="4.1328125" bestFit="1" customWidth="1"/>
    <col min="72" max="72" width="9.59765625" bestFit="1" customWidth="1"/>
    <col min="73" max="73" width="12.86328125" bestFit="1" customWidth="1"/>
    <col min="74" max="74" width="7.1328125" bestFit="1" customWidth="1"/>
    <col min="75" max="75" width="6.86328125" bestFit="1" customWidth="1"/>
    <col min="76" max="76" width="8.59765625" bestFit="1" customWidth="1"/>
    <col min="77" max="77" width="7.3984375" bestFit="1" customWidth="1"/>
    <col min="78" max="78" width="6.265625" bestFit="1" customWidth="1"/>
    <col min="79" max="79" width="7.86328125" bestFit="1" customWidth="1"/>
    <col min="80" max="80" width="12" bestFit="1" customWidth="1"/>
    <col min="81" max="81" width="7.59765625" bestFit="1" customWidth="1"/>
    <col min="82" max="82" width="6" bestFit="1" customWidth="1"/>
    <col min="83" max="83" width="10.73046875" customWidth="1"/>
    <col min="85" max="85" width="14.265625" bestFit="1" customWidth="1"/>
    <col min="86" max="86" width="9.59765625" bestFit="1" customWidth="1"/>
    <col min="87" max="87" width="7.73046875" bestFit="1" customWidth="1"/>
    <col min="88" max="88" width="4.73046875" bestFit="1" customWidth="1"/>
    <col min="89" max="89" width="5.1328125" bestFit="1" customWidth="1"/>
    <col min="90" max="90" width="7.265625" bestFit="1" customWidth="1"/>
    <col min="91" max="91" width="4" bestFit="1" customWidth="1"/>
    <col min="92" max="92" width="6.73046875" bestFit="1" customWidth="1"/>
    <col min="93" max="93" width="7.265625" bestFit="1" customWidth="1"/>
    <col min="94" max="94" width="5.265625" bestFit="1" customWidth="1"/>
    <col min="95" max="95" width="4.59765625" bestFit="1" customWidth="1"/>
    <col min="96" max="96" width="4.1328125" bestFit="1" customWidth="1"/>
    <col min="97" max="97" width="9.265625" bestFit="1" customWidth="1"/>
    <col min="98" max="98" width="12.86328125" bestFit="1" customWidth="1"/>
    <col min="99" max="99" width="7.1328125" bestFit="1" customWidth="1"/>
    <col min="100" max="100" width="6.86328125" bestFit="1" customWidth="1"/>
    <col min="101" max="101" width="8.59765625" bestFit="1" customWidth="1"/>
    <col min="102" max="102" width="7.3984375" bestFit="1" customWidth="1"/>
    <col min="103" max="103" width="6.265625" bestFit="1" customWidth="1"/>
    <col min="104" max="104" width="6.86328125" bestFit="1" customWidth="1"/>
    <col min="105" max="105" width="12" bestFit="1" customWidth="1"/>
    <col min="106" max="106" width="5.59765625" bestFit="1" customWidth="1"/>
    <col min="111" max="111" width="12.3984375" bestFit="1" customWidth="1"/>
    <col min="112" max="112" width="6.59765625" bestFit="1" customWidth="1"/>
    <col min="113" max="114" width="4.3984375" bestFit="1" customWidth="1"/>
    <col min="115" max="115" width="6.265625" bestFit="1" customWidth="1"/>
    <col min="116" max="116" width="3.265625" bestFit="1" customWidth="1"/>
    <col min="117" max="117" width="5.73046875" bestFit="1" customWidth="1"/>
    <col min="118" max="118" width="6.1328125" bestFit="1" customWidth="1"/>
    <col min="119" max="119" width="4.3984375" bestFit="1" customWidth="1"/>
    <col min="120" max="120" width="3.86328125" bestFit="1" customWidth="1"/>
    <col min="121" max="121" width="3.3984375" bestFit="1" customWidth="1"/>
    <col min="122" max="122" width="8" bestFit="1" customWidth="1"/>
    <col min="123" max="123" width="11.1328125" bestFit="1" customWidth="1"/>
    <col min="124" max="124" width="6" bestFit="1" customWidth="1"/>
    <col min="125" max="125" width="5.86328125" bestFit="1" customWidth="1"/>
    <col min="126" max="126" width="7.265625" bestFit="1" customWidth="1"/>
    <col min="127" max="127" width="6.3984375" bestFit="1" customWidth="1"/>
    <col min="128" max="128" width="5.265625" bestFit="1" customWidth="1"/>
    <col min="129" max="129" width="6.86328125" bestFit="1" customWidth="1"/>
    <col min="130" max="130" width="10.59765625" bestFit="1" customWidth="1"/>
    <col min="131" max="131" width="5" bestFit="1" customWidth="1"/>
    <col min="132" max="132" width="6.3984375" customWidth="1"/>
    <col min="133" max="133" width="6" bestFit="1" customWidth="1"/>
    <col min="134" max="134" width="13" bestFit="1" customWidth="1"/>
    <col min="135" max="135" width="13" customWidth="1"/>
    <col min="136" max="136" width="7.73046875" bestFit="1" customWidth="1"/>
    <col min="137" max="137" width="4.73046875" bestFit="1" customWidth="1"/>
    <col min="138" max="138" width="5.3984375" bestFit="1" customWidth="1"/>
    <col min="139" max="139" width="7.265625" bestFit="1" customWidth="1"/>
    <col min="140" max="140" width="4" bestFit="1" customWidth="1"/>
    <col min="141" max="141" width="6.73046875" bestFit="1" customWidth="1"/>
    <col min="142" max="142" width="7.265625" bestFit="1" customWidth="1"/>
    <col min="143" max="143" width="5" bestFit="1" customWidth="1"/>
    <col min="144" max="144" width="7.265625" bestFit="1" customWidth="1"/>
    <col min="145" max="145" width="5.265625" bestFit="1" customWidth="1"/>
    <col min="146" max="146" width="4.59765625" bestFit="1" customWidth="1"/>
    <col min="147" max="147" width="4.1328125" bestFit="1" customWidth="1"/>
    <col min="148" max="148" width="9.265625" bestFit="1" customWidth="1"/>
    <col min="149" max="149" width="12.86328125" bestFit="1" customWidth="1"/>
    <col min="150" max="150" width="7.1328125" bestFit="1" customWidth="1"/>
    <col min="151" max="151" width="6.86328125" bestFit="1" customWidth="1"/>
    <col min="152" max="152" width="8.59765625" bestFit="1" customWidth="1"/>
    <col min="153" max="154" width="8.59765625" customWidth="1"/>
    <col min="155" max="155" width="7.3984375" bestFit="1" customWidth="1"/>
    <col min="156" max="156" width="6.265625" bestFit="1" customWidth="1"/>
    <col min="157" max="157" width="7.86328125" bestFit="1" customWidth="1"/>
    <col min="158" max="158" width="12" bestFit="1" customWidth="1"/>
    <col min="159" max="159" width="7.59765625" bestFit="1" customWidth="1"/>
    <col min="163" max="163" width="14.265625" bestFit="1" customWidth="1"/>
    <col min="164" max="164" width="9.59765625" bestFit="1" customWidth="1"/>
    <col min="165" max="165" width="7.73046875" bestFit="1" customWidth="1"/>
    <col min="166" max="166" width="4.73046875" bestFit="1" customWidth="1"/>
    <col min="167" max="167" width="5.1328125" bestFit="1" customWidth="1"/>
    <col min="168" max="168" width="7.265625" bestFit="1" customWidth="1"/>
    <col min="169" max="169" width="4" bestFit="1" customWidth="1"/>
    <col min="170" max="170" width="6.73046875" bestFit="1" customWidth="1"/>
    <col min="171" max="171" width="7.265625" bestFit="1" customWidth="1"/>
    <col min="172" max="172" width="5" bestFit="1" customWidth="1"/>
    <col min="173" max="173" width="7.265625" bestFit="1" customWidth="1"/>
    <col min="174" max="174" width="5.265625" bestFit="1" customWidth="1"/>
    <col min="175" max="175" width="4.59765625" bestFit="1" customWidth="1"/>
    <col min="176" max="176" width="4.1328125" bestFit="1" customWidth="1"/>
    <col min="177" max="177" width="9.265625" bestFit="1" customWidth="1"/>
    <col min="178" max="178" width="12.86328125" bestFit="1" customWidth="1"/>
    <col min="179" max="179" width="7.1328125" bestFit="1" customWidth="1"/>
    <col min="180" max="180" width="6.86328125" bestFit="1" customWidth="1"/>
    <col min="181" max="181" width="8.59765625" bestFit="1" customWidth="1"/>
    <col min="182" max="182" width="8.59765625" customWidth="1"/>
    <col min="183" max="183" width="7.3984375" bestFit="1" customWidth="1"/>
    <col min="184" max="184" width="6.265625" bestFit="1" customWidth="1"/>
    <col min="185" max="185" width="7.86328125" bestFit="1" customWidth="1"/>
    <col min="186" max="186" width="12" bestFit="1" customWidth="1"/>
    <col min="187" max="187" width="7.59765625" bestFit="1" customWidth="1"/>
    <col min="188" max="188" width="5.59765625" bestFit="1" customWidth="1"/>
    <col min="191" max="191" width="13" bestFit="1" customWidth="1"/>
    <col min="192" max="192" width="8.73046875" bestFit="1" customWidth="1"/>
    <col min="193" max="193" width="6.73046875" bestFit="1" customWidth="1"/>
    <col min="194" max="194" width="4" bestFit="1" customWidth="1"/>
    <col min="195" max="195" width="4.59765625" bestFit="1" customWidth="1"/>
    <col min="196" max="196" width="6.3984375" bestFit="1" customWidth="1"/>
    <col min="197" max="197" width="3.3984375" bestFit="1" customWidth="1"/>
    <col min="198" max="198" width="6" bestFit="1" customWidth="1"/>
    <col min="199" max="199" width="6.59765625" bestFit="1" customWidth="1"/>
    <col min="200" max="200" width="4.265625" bestFit="1" customWidth="1"/>
    <col min="201" max="201" width="6.59765625" bestFit="1" customWidth="1"/>
    <col min="202" max="202" width="4.73046875" bestFit="1" customWidth="1"/>
    <col min="203" max="203" width="4" bestFit="1" customWidth="1"/>
    <col min="204" max="204" width="3.73046875" bestFit="1" customWidth="1"/>
    <col min="205" max="205" width="8.3984375" bestFit="1" customWidth="1"/>
    <col min="206" max="206" width="11.59765625" bestFit="1" customWidth="1"/>
    <col min="207" max="207" width="6.265625" bestFit="1" customWidth="1"/>
    <col min="208" max="208" width="6" bestFit="1" customWidth="1"/>
    <col min="209" max="209" width="7.73046875" bestFit="1" customWidth="1"/>
    <col min="210" max="210" width="6.3984375" bestFit="1" customWidth="1"/>
    <col min="211" max="211" width="6.73046875" bestFit="1" customWidth="1"/>
    <col min="212" max="212" width="5.86328125" bestFit="1" customWidth="1"/>
    <col min="213" max="213" width="7.1328125" bestFit="1" customWidth="1"/>
    <col min="214" max="214" width="10.86328125" bestFit="1" customWidth="1"/>
    <col min="218" max="218" width="14.86328125" bestFit="1" customWidth="1"/>
    <col min="219" max="219" width="9.59765625" customWidth="1"/>
    <col min="220" max="220" width="7.73046875" customWidth="1"/>
    <col min="221" max="221" width="4.73046875" customWidth="1"/>
    <col min="222" max="222" width="5.1328125" customWidth="1"/>
    <col min="223" max="223" width="7.265625" customWidth="1"/>
    <col min="224" max="224" width="6.73046875" customWidth="1"/>
    <col min="225" max="225" width="6.265625" bestFit="1" customWidth="1"/>
    <col min="226" max="226" width="7.265625" customWidth="1"/>
    <col min="227" max="227" width="5.265625" customWidth="1"/>
    <col min="228" max="228" width="4.59765625" customWidth="1"/>
    <col min="229" max="229" width="4.1328125" customWidth="1"/>
    <col min="230" max="230" width="9.265625" customWidth="1"/>
    <col min="231" max="231" width="12.86328125" customWidth="1"/>
    <col min="232" max="232" width="7.1328125" customWidth="1"/>
    <col min="233" max="233" width="6.86328125" customWidth="1"/>
    <col min="234" max="234" width="8.59765625" customWidth="1"/>
    <col min="235" max="235" width="7.3984375" customWidth="1"/>
    <col min="236" max="236" width="6.265625" customWidth="1"/>
    <col min="237" max="237" width="7.86328125" customWidth="1"/>
    <col min="238" max="238" width="12" customWidth="1"/>
    <col min="239" max="239" width="5.59765625" customWidth="1"/>
    <col min="240" max="241" width="10.59765625" customWidth="1"/>
    <col min="242" max="242" width="14.265625" bestFit="1" customWidth="1"/>
    <col min="243" max="243" width="9.59765625" bestFit="1" customWidth="1"/>
    <col min="244" max="244" width="7.73046875" bestFit="1" customWidth="1"/>
    <col min="245" max="245" width="4.73046875" bestFit="1" customWidth="1"/>
    <col min="246" max="246" width="5.1328125" bestFit="1" customWidth="1"/>
    <col min="247" max="247" width="7.265625" bestFit="1" customWidth="1"/>
    <col min="248" max="248" width="6.73046875" bestFit="1" customWidth="1"/>
    <col min="249" max="249" width="7.265625" bestFit="1" customWidth="1"/>
    <col min="250" max="250" width="5.265625" bestFit="1" customWidth="1"/>
    <col min="251" max="251" width="4.59765625" bestFit="1" customWidth="1"/>
    <col min="252" max="252" width="4.1328125" bestFit="1" customWidth="1"/>
    <col min="253" max="253" width="9.265625" bestFit="1" customWidth="1"/>
    <col min="254" max="254" width="12.86328125" bestFit="1" customWidth="1"/>
    <col min="255" max="255" width="7.1328125" bestFit="1" customWidth="1"/>
    <col min="256" max="256" width="6.86328125" bestFit="1" customWidth="1"/>
    <col min="257" max="257" width="8.59765625" bestFit="1" customWidth="1"/>
    <col min="258" max="258" width="7" bestFit="1" customWidth="1"/>
    <col min="259" max="259" width="7.265625" bestFit="1" customWidth="1"/>
    <col min="260" max="260" width="7.3984375" bestFit="1" customWidth="1"/>
    <col min="261" max="261" width="10.59765625" bestFit="1" customWidth="1"/>
    <col min="262" max="262" width="7.265625" bestFit="1" customWidth="1"/>
    <col min="263" max="263" width="5.59765625" bestFit="1" customWidth="1"/>
  </cols>
  <sheetData>
    <row r="1" spans="1:263" ht="14.25" x14ac:dyDescent="0.45">
      <c r="B1" t="s">
        <v>0</v>
      </c>
    </row>
    <row r="3" spans="1:263" ht="14.25" x14ac:dyDescent="0.45">
      <c r="B3" t="s">
        <v>1</v>
      </c>
      <c r="T3" t="s">
        <v>2</v>
      </c>
      <c r="AM3" t="s">
        <v>3</v>
      </c>
      <c r="BH3" t="s">
        <v>4</v>
      </c>
      <c r="CG3" t="s">
        <v>5</v>
      </c>
      <c r="DG3" t="s">
        <v>6</v>
      </c>
      <c r="ED3" t="s">
        <v>7</v>
      </c>
      <c r="FG3" t="s">
        <v>8</v>
      </c>
      <c r="GI3" t="s">
        <v>9</v>
      </c>
      <c r="HJ3" t="s">
        <v>10</v>
      </c>
      <c r="IH3" t="s">
        <v>11</v>
      </c>
    </row>
    <row r="4" spans="1:263" ht="14.25" customHeight="1" x14ac:dyDescent="0.45">
      <c r="E4" s="6" t="s">
        <v>13</v>
      </c>
      <c r="F4" s="6"/>
      <c r="G4" s="6"/>
      <c r="H4" s="6"/>
      <c r="V4" s="6" t="s">
        <v>14</v>
      </c>
      <c r="W4" s="6"/>
      <c r="AO4" s="6" t="s">
        <v>14</v>
      </c>
      <c r="AP4" s="6"/>
      <c r="BL4" s="6" t="s">
        <v>14</v>
      </c>
      <c r="BM4" s="6"/>
      <c r="BN4" s="5"/>
      <c r="BO4" s="5"/>
      <c r="CL4" s="6" t="s">
        <v>13</v>
      </c>
      <c r="CM4" s="6"/>
      <c r="CN4" s="6"/>
      <c r="DJ4" s="6" t="s">
        <v>14</v>
      </c>
      <c r="DK4" s="6"/>
      <c r="EG4" s="6" t="s">
        <v>14</v>
      </c>
      <c r="EH4" s="6"/>
      <c r="FI4" s="6" t="s">
        <v>14</v>
      </c>
      <c r="FJ4" s="6"/>
      <c r="HL4" s="6" t="s">
        <v>14</v>
      </c>
      <c r="HM4" s="6"/>
      <c r="IJ4" s="6" t="s">
        <v>14</v>
      </c>
      <c r="IK4" s="6"/>
    </row>
    <row r="5" spans="1:263" ht="14.25" x14ac:dyDescent="0.45">
      <c r="B5" t="s">
        <v>12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T5" t="s">
        <v>12</v>
      </c>
      <c r="U5" t="s">
        <v>17</v>
      </c>
      <c r="V5" t="s">
        <v>18</v>
      </c>
      <c r="W5" t="s">
        <v>19</v>
      </c>
      <c r="X5" t="s">
        <v>20</v>
      </c>
      <c r="Y5" t="s">
        <v>21</v>
      </c>
      <c r="Z5" t="s">
        <v>22</v>
      </c>
      <c r="AA5" t="s">
        <v>23</v>
      </c>
      <c r="AB5" t="s">
        <v>25</v>
      </c>
      <c r="AC5" t="s">
        <v>24</v>
      </c>
      <c r="AD5" t="s">
        <v>31</v>
      </c>
      <c r="AE5" t="s">
        <v>26</v>
      </c>
      <c r="AF5" t="s">
        <v>27</v>
      </c>
      <c r="AG5" t="s">
        <v>28</v>
      </c>
      <c r="AH5" t="s">
        <v>29</v>
      </c>
      <c r="AI5" t="s">
        <v>41</v>
      </c>
      <c r="AJ5" t="s">
        <v>30</v>
      </c>
      <c r="AL5" t="s">
        <v>32</v>
      </c>
      <c r="AM5" t="s">
        <v>12</v>
      </c>
      <c r="AN5" t="s">
        <v>17</v>
      </c>
      <c r="AO5" t="s">
        <v>18</v>
      </c>
      <c r="AP5" t="s">
        <v>19</v>
      </c>
      <c r="AQ5" t="s">
        <v>20</v>
      </c>
      <c r="AR5" t="s">
        <v>21</v>
      </c>
      <c r="AS5" t="s">
        <v>22</v>
      </c>
      <c r="AT5" t="s">
        <v>23</v>
      </c>
      <c r="AU5" t="s">
        <v>33</v>
      </c>
      <c r="AV5" t="s">
        <v>25</v>
      </c>
      <c r="AW5" t="s">
        <v>24</v>
      </c>
      <c r="AX5" t="s">
        <v>31</v>
      </c>
      <c r="AY5" t="s">
        <v>26</v>
      </c>
      <c r="AZ5" t="s">
        <v>27</v>
      </c>
      <c r="BA5" t="s">
        <v>28</v>
      </c>
      <c r="BB5" t="s">
        <v>34</v>
      </c>
      <c r="BC5" t="s">
        <v>29</v>
      </c>
      <c r="BD5" t="s">
        <v>30</v>
      </c>
      <c r="BH5" t="s">
        <v>12</v>
      </c>
      <c r="BI5" t="s">
        <v>16</v>
      </c>
      <c r="BJ5" t="s">
        <v>17</v>
      </c>
      <c r="BK5" t="s">
        <v>18</v>
      </c>
      <c r="BL5" t="s">
        <v>19</v>
      </c>
      <c r="BM5" t="s">
        <v>20</v>
      </c>
      <c r="BN5" t="s">
        <v>39</v>
      </c>
      <c r="BO5" t="s">
        <v>40</v>
      </c>
      <c r="BP5" t="s">
        <v>21</v>
      </c>
      <c r="BQ5" t="s">
        <v>22</v>
      </c>
      <c r="BR5" t="s">
        <v>23</v>
      </c>
      <c r="BS5" t="s">
        <v>35</v>
      </c>
      <c r="BT5" t="s">
        <v>137</v>
      </c>
      <c r="BU5" t="s">
        <v>25</v>
      </c>
      <c r="BV5" t="s">
        <v>24</v>
      </c>
      <c r="BW5" t="s">
        <v>31</v>
      </c>
      <c r="BX5" t="s">
        <v>26</v>
      </c>
      <c r="BY5" t="s">
        <v>27</v>
      </c>
      <c r="BZ5" t="s">
        <v>28</v>
      </c>
      <c r="CA5" t="s">
        <v>34</v>
      </c>
      <c r="CB5" t="s">
        <v>29</v>
      </c>
      <c r="CC5" t="s">
        <v>42</v>
      </c>
      <c r="CD5" t="s">
        <v>36</v>
      </c>
      <c r="CG5" t="s">
        <v>12</v>
      </c>
      <c r="CH5" t="s">
        <v>41</v>
      </c>
      <c r="CI5" t="s">
        <v>38</v>
      </c>
      <c r="CJ5" t="s">
        <v>17</v>
      </c>
      <c r="CK5" t="s">
        <v>18</v>
      </c>
      <c r="CL5" t="s">
        <v>19</v>
      </c>
      <c r="CM5" t="s">
        <v>37</v>
      </c>
      <c r="CN5" t="s">
        <v>20</v>
      </c>
      <c r="CO5" t="s">
        <v>21</v>
      </c>
      <c r="CP5" t="s">
        <v>22</v>
      </c>
      <c r="CQ5" t="s">
        <v>23</v>
      </c>
      <c r="CR5" t="s">
        <v>35</v>
      </c>
      <c r="CS5" t="s">
        <v>33</v>
      </c>
      <c r="CT5" t="s">
        <v>25</v>
      </c>
      <c r="CU5" t="s">
        <v>24</v>
      </c>
      <c r="CV5" t="s">
        <v>31</v>
      </c>
      <c r="CW5" t="s">
        <v>26</v>
      </c>
      <c r="CX5" t="s">
        <v>27</v>
      </c>
      <c r="CY5" t="s">
        <v>28</v>
      </c>
      <c r="CZ5" t="s">
        <v>34</v>
      </c>
      <c r="DA5" t="s">
        <v>29</v>
      </c>
      <c r="DB5" t="s">
        <v>30</v>
      </c>
      <c r="DG5" t="s">
        <v>12</v>
      </c>
      <c r="DH5" t="s">
        <v>38</v>
      </c>
      <c r="DI5" t="s">
        <v>17</v>
      </c>
      <c r="DJ5" t="s">
        <v>18</v>
      </c>
      <c r="DK5" t="s">
        <v>19</v>
      </c>
      <c r="DL5" t="s">
        <v>37</v>
      </c>
      <c r="DM5" t="s">
        <v>20</v>
      </c>
      <c r="DN5" t="s">
        <v>21</v>
      </c>
      <c r="DO5" t="s">
        <v>22</v>
      </c>
      <c r="DP5" t="s">
        <v>23</v>
      </c>
      <c r="DQ5" t="s">
        <v>35</v>
      </c>
      <c r="DR5" t="s">
        <v>33</v>
      </c>
      <c r="DS5" t="s">
        <v>25</v>
      </c>
      <c r="DT5" t="s">
        <v>24</v>
      </c>
      <c r="DU5" t="s">
        <v>31</v>
      </c>
      <c r="DV5" t="s">
        <v>26</v>
      </c>
      <c r="DW5" t="s">
        <v>27</v>
      </c>
      <c r="DX5" t="s">
        <v>28</v>
      </c>
      <c r="DY5" t="s">
        <v>34</v>
      </c>
      <c r="DZ5" t="s">
        <v>29</v>
      </c>
      <c r="EA5" t="s">
        <v>30</v>
      </c>
      <c r="ED5" t="s">
        <v>12</v>
      </c>
      <c r="EE5" t="s">
        <v>41</v>
      </c>
      <c r="EF5" t="s">
        <v>38</v>
      </c>
      <c r="EG5" t="s">
        <v>17</v>
      </c>
      <c r="EH5" t="s">
        <v>18</v>
      </c>
      <c r="EI5" t="s">
        <v>19</v>
      </c>
      <c r="EJ5" t="s">
        <v>37</v>
      </c>
      <c r="EK5" t="s">
        <v>20</v>
      </c>
      <c r="EL5" t="s">
        <v>39</v>
      </c>
      <c r="EM5" t="s">
        <v>40</v>
      </c>
      <c r="EN5" t="s">
        <v>21</v>
      </c>
      <c r="EO5" t="s">
        <v>22</v>
      </c>
      <c r="EP5" t="s">
        <v>23</v>
      </c>
      <c r="EQ5" t="s">
        <v>35</v>
      </c>
      <c r="ER5" t="s">
        <v>33</v>
      </c>
      <c r="ES5" t="s">
        <v>25</v>
      </c>
      <c r="ET5" t="s">
        <v>24</v>
      </c>
      <c r="EU5" t="s">
        <v>31</v>
      </c>
      <c r="EV5" t="s">
        <v>26</v>
      </c>
      <c r="EW5" t="s">
        <v>138</v>
      </c>
      <c r="EX5" t="s">
        <v>43</v>
      </c>
      <c r="EY5" t="s">
        <v>27</v>
      </c>
      <c r="EZ5" t="s">
        <v>28</v>
      </c>
      <c r="FA5" t="s">
        <v>34</v>
      </c>
      <c r="FB5" t="s">
        <v>29</v>
      </c>
      <c r="FC5" t="s">
        <v>42</v>
      </c>
      <c r="FD5" t="s">
        <v>30</v>
      </c>
      <c r="FG5" t="s">
        <v>12</v>
      </c>
      <c r="FH5" t="s">
        <v>41</v>
      </c>
      <c r="FI5" t="s">
        <v>38</v>
      </c>
      <c r="FJ5" t="s">
        <v>17</v>
      </c>
      <c r="FK5" t="s">
        <v>18</v>
      </c>
      <c r="FL5" t="s">
        <v>19</v>
      </c>
      <c r="FM5" t="s">
        <v>37</v>
      </c>
      <c r="FN5" t="s">
        <v>20</v>
      </c>
      <c r="FO5" t="s">
        <v>39</v>
      </c>
      <c r="FP5" t="s">
        <v>40</v>
      </c>
      <c r="FQ5" t="s">
        <v>21</v>
      </c>
      <c r="FR5" t="s">
        <v>22</v>
      </c>
      <c r="FS5" t="s">
        <v>23</v>
      </c>
      <c r="FT5" t="s">
        <v>35</v>
      </c>
      <c r="FU5" t="s">
        <v>33</v>
      </c>
      <c r="FV5" t="s">
        <v>25</v>
      </c>
      <c r="FW5" t="s">
        <v>24</v>
      </c>
      <c r="FX5" t="s">
        <v>31</v>
      </c>
      <c r="FY5" t="s">
        <v>26</v>
      </c>
      <c r="FZ5" t="s">
        <v>43</v>
      </c>
      <c r="GA5" t="s">
        <v>27</v>
      </c>
      <c r="GB5" t="s">
        <v>28</v>
      </c>
      <c r="GC5" t="s">
        <v>34</v>
      </c>
      <c r="GD5" t="s">
        <v>29</v>
      </c>
      <c r="GE5" t="s">
        <v>42</v>
      </c>
      <c r="GF5" t="s">
        <v>30</v>
      </c>
      <c r="GI5" t="s">
        <v>12</v>
      </c>
      <c r="GJ5" t="s">
        <v>41</v>
      </c>
      <c r="GK5" t="s">
        <v>38</v>
      </c>
      <c r="GL5" t="s">
        <v>17</v>
      </c>
      <c r="GM5" t="s">
        <v>18</v>
      </c>
      <c r="GN5" t="s">
        <v>19</v>
      </c>
      <c r="GO5" t="s">
        <v>37</v>
      </c>
      <c r="GP5" t="s">
        <v>20</v>
      </c>
      <c r="GQ5" t="s">
        <v>39</v>
      </c>
      <c r="GR5" t="s">
        <v>40</v>
      </c>
      <c r="GS5" t="s">
        <v>21</v>
      </c>
      <c r="GT5" t="s">
        <v>22</v>
      </c>
      <c r="GU5" t="s">
        <v>23</v>
      </c>
      <c r="GV5" t="s">
        <v>35</v>
      </c>
      <c r="GW5" t="s">
        <v>33</v>
      </c>
      <c r="GX5" t="s">
        <v>25</v>
      </c>
      <c r="GY5" t="s">
        <v>24</v>
      </c>
      <c r="GZ5" t="s">
        <v>31</v>
      </c>
      <c r="HA5" t="s">
        <v>26</v>
      </c>
      <c r="HB5" t="s">
        <v>43</v>
      </c>
      <c r="HC5" t="s">
        <v>27</v>
      </c>
      <c r="HD5" t="s">
        <v>28</v>
      </c>
      <c r="HE5" t="s">
        <v>34</v>
      </c>
      <c r="HF5" t="s">
        <v>29</v>
      </c>
      <c r="HG5" t="s">
        <v>30</v>
      </c>
      <c r="HJ5" t="s">
        <v>15</v>
      </c>
      <c r="HK5" t="s">
        <v>41</v>
      </c>
      <c r="HL5" t="s">
        <v>38</v>
      </c>
      <c r="HM5" t="s">
        <v>17</v>
      </c>
      <c r="HN5" t="s">
        <v>18</v>
      </c>
      <c r="HO5" t="s">
        <v>19</v>
      </c>
      <c r="HP5" t="s">
        <v>20</v>
      </c>
      <c r="HQ5" t="s">
        <v>39</v>
      </c>
      <c r="HR5" t="s">
        <v>21</v>
      </c>
      <c r="HS5" t="s">
        <v>22</v>
      </c>
      <c r="HT5" t="s">
        <v>23</v>
      </c>
      <c r="HU5" t="s">
        <v>35</v>
      </c>
      <c r="HV5" t="s">
        <v>33</v>
      </c>
      <c r="HW5" t="s">
        <v>25</v>
      </c>
      <c r="HX5" t="s">
        <v>24</v>
      </c>
      <c r="HY5" t="s">
        <v>31</v>
      </c>
      <c r="HZ5" t="s">
        <v>26</v>
      </c>
      <c r="IA5" t="s">
        <v>27</v>
      </c>
      <c r="IB5" t="s">
        <v>28</v>
      </c>
      <c r="IC5" t="s">
        <v>34</v>
      </c>
      <c r="ID5" t="s">
        <v>29</v>
      </c>
      <c r="IE5" t="s">
        <v>30</v>
      </c>
      <c r="IH5" t="s">
        <v>12</v>
      </c>
      <c r="II5" t="s">
        <v>41</v>
      </c>
      <c r="IJ5" t="s">
        <v>38</v>
      </c>
      <c r="IK5" t="s">
        <v>17</v>
      </c>
      <c r="IL5" t="s">
        <v>18</v>
      </c>
      <c r="IM5" t="s">
        <v>19</v>
      </c>
      <c r="IN5" t="s">
        <v>20</v>
      </c>
      <c r="IO5" t="s">
        <v>21</v>
      </c>
      <c r="IP5" t="s">
        <v>22</v>
      </c>
      <c r="IQ5" t="s">
        <v>23</v>
      </c>
      <c r="IR5" t="s">
        <v>35</v>
      </c>
      <c r="IS5" t="s">
        <v>33</v>
      </c>
      <c r="IT5" t="s">
        <v>25</v>
      </c>
      <c r="IU5" t="s">
        <v>24</v>
      </c>
      <c r="IV5" t="s">
        <v>31</v>
      </c>
      <c r="IW5" t="s">
        <v>26</v>
      </c>
      <c r="IX5" t="s">
        <v>138</v>
      </c>
      <c r="IY5" t="s">
        <v>43</v>
      </c>
      <c r="IZ5" t="s">
        <v>27</v>
      </c>
      <c r="JA5" t="s">
        <v>29</v>
      </c>
      <c r="JB5" t="s">
        <v>172</v>
      </c>
      <c r="JC5" t="s">
        <v>30</v>
      </c>
    </row>
    <row r="6" spans="1:263" ht="14.25" x14ac:dyDescent="0.45">
      <c r="A6" s="6" t="s">
        <v>32</v>
      </c>
      <c r="B6" t="s">
        <v>16</v>
      </c>
      <c r="Q6">
        <f t="shared" ref="Q6:Q19" si="0">SUM(C6:P6)</f>
        <v>0</v>
      </c>
      <c r="S6" t="s">
        <v>32</v>
      </c>
      <c r="T6" t="s">
        <v>17</v>
      </c>
      <c r="U6">
        <v>2</v>
      </c>
      <c r="X6">
        <v>1</v>
      </c>
      <c r="Z6">
        <v>1</v>
      </c>
      <c r="AF6">
        <v>3</v>
      </c>
      <c r="AH6">
        <v>8</v>
      </c>
      <c r="AJ6">
        <f>SUM(U6:AI6)</f>
        <v>15</v>
      </c>
      <c r="AM6" t="s">
        <v>17</v>
      </c>
      <c r="BD6">
        <f>SUM(AN6:BC6)</f>
        <v>0</v>
      </c>
      <c r="BG6" t="s">
        <v>32</v>
      </c>
      <c r="BH6" t="s">
        <v>16</v>
      </c>
      <c r="CD6">
        <f>SUM(BI6:CC6)</f>
        <v>0</v>
      </c>
      <c r="CF6" t="s">
        <v>32</v>
      </c>
      <c r="CG6" t="s">
        <v>41</v>
      </c>
      <c r="DB6">
        <f>SUM(CJ6:DA6)</f>
        <v>0</v>
      </c>
      <c r="DF6" t="s">
        <v>32</v>
      </c>
      <c r="DG6" t="s">
        <v>38</v>
      </c>
      <c r="EA6">
        <f>SUM(DH6:DZ6)</f>
        <v>0</v>
      </c>
      <c r="EC6" t="s">
        <v>32</v>
      </c>
      <c r="ED6" t="s">
        <v>41</v>
      </c>
      <c r="FD6">
        <f>SUM(EE6:FC6)</f>
        <v>0</v>
      </c>
      <c r="FF6" t="s">
        <v>32</v>
      </c>
      <c r="FG6" t="s">
        <v>41</v>
      </c>
      <c r="GF6">
        <f t="shared" ref="GF6:GF29" si="1">SUM(FH6:GE6)</f>
        <v>0</v>
      </c>
      <c r="GI6" t="s">
        <v>41</v>
      </c>
      <c r="HG6">
        <f>SUM(GJ6:HF6)</f>
        <v>0</v>
      </c>
      <c r="HI6" t="s">
        <v>32</v>
      </c>
      <c r="HJ6" t="s">
        <v>41</v>
      </c>
      <c r="HW6">
        <v>9</v>
      </c>
      <c r="HY6">
        <v>1</v>
      </c>
      <c r="HZ6">
        <v>2</v>
      </c>
      <c r="ID6">
        <v>2</v>
      </c>
      <c r="IE6">
        <f>SUM(HK6:ID6)</f>
        <v>14</v>
      </c>
      <c r="IG6" t="s">
        <v>32</v>
      </c>
      <c r="IH6" t="s">
        <v>41</v>
      </c>
      <c r="JC6">
        <f>SUM(II6:JB6)</f>
        <v>0</v>
      </c>
    </row>
    <row r="7" spans="1:263" ht="14.25" x14ac:dyDescent="0.45">
      <c r="A7" s="6"/>
      <c r="B7" t="s">
        <v>17</v>
      </c>
      <c r="Q7">
        <f t="shared" si="0"/>
        <v>0</v>
      </c>
      <c r="T7" t="s">
        <v>18</v>
      </c>
      <c r="AJ7">
        <f t="shared" ref="AJ7:AJ20" si="2">SUM(U7:AI7)</f>
        <v>0</v>
      </c>
      <c r="AM7" t="s">
        <v>18</v>
      </c>
      <c r="BD7">
        <f t="shared" ref="BD7:BD21" si="3">SUM(AN7:BC7)</f>
        <v>0</v>
      </c>
      <c r="BH7" t="s">
        <v>17</v>
      </c>
      <c r="CD7">
        <f t="shared" ref="CD7:CD26" si="4">SUM(BI7:CC7)</f>
        <v>0</v>
      </c>
      <c r="CG7" t="s">
        <v>16</v>
      </c>
      <c r="DB7">
        <f t="shared" ref="DB7:DB25" si="5">SUM(CJ7:DA7)</f>
        <v>0</v>
      </c>
      <c r="DG7" t="s">
        <v>17</v>
      </c>
      <c r="DI7">
        <v>3</v>
      </c>
      <c r="DO7">
        <v>1</v>
      </c>
      <c r="DZ7">
        <v>5</v>
      </c>
      <c r="EA7">
        <f>SUM(DH7:DZ7)</f>
        <v>9</v>
      </c>
      <c r="ED7" t="s">
        <v>38</v>
      </c>
      <c r="FD7">
        <f t="shared" ref="FD7:FD30" si="6">SUM(EE7:FC7)</f>
        <v>0</v>
      </c>
      <c r="FG7" t="s">
        <v>38</v>
      </c>
      <c r="GF7">
        <f t="shared" si="1"/>
        <v>0</v>
      </c>
      <c r="GI7" t="s">
        <v>38</v>
      </c>
      <c r="HG7">
        <f t="shared" ref="HG7:HG28" si="7">SUM(GJ7:HF7)</f>
        <v>0</v>
      </c>
      <c r="HJ7" t="s">
        <v>38</v>
      </c>
      <c r="IE7">
        <f t="shared" ref="IE7:IE25" si="8">SUM(HK7:ID7)</f>
        <v>0</v>
      </c>
      <c r="IH7" t="s">
        <v>38</v>
      </c>
      <c r="JC7">
        <f t="shared" ref="JC7:JC25" si="9">SUM(II7:JB7)</f>
        <v>0</v>
      </c>
    </row>
    <row r="8" spans="1:263" ht="14.25" x14ac:dyDescent="0.45">
      <c r="B8" t="s">
        <v>18</v>
      </c>
      <c r="Q8">
        <f t="shared" si="0"/>
        <v>0</v>
      </c>
      <c r="T8" t="s">
        <v>19</v>
      </c>
      <c r="AJ8">
        <f t="shared" si="2"/>
        <v>0</v>
      </c>
      <c r="AM8" t="s">
        <v>19</v>
      </c>
      <c r="AP8">
        <v>1</v>
      </c>
      <c r="BD8">
        <f t="shared" si="3"/>
        <v>1</v>
      </c>
      <c r="BH8" t="s">
        <v>18</v>
      </c>
      <c r="BP8">
        <v>3</v>
      </c>
      <c r="CD8">
        <f t="shared" si="4"/>
        <v>3</v>
      </c>
      <c r="CG8" t="s">
        <v>17</v>
      </c>
      <c r="CJ8">
        <v>6</v>
      </c>
      <c r="DB8">
        <f t="shared" si="5"/>
        <v>6</v>
      </c>
      <c r="DG8" t="s">
        <v>18</v>
      </c>
      <c r="EA8">
        <f t="shared" ref="EA8:EA24" si="10">SUM(DH8:DZ8)</f>
        <v>0</v>
      </c>
      <c r="ED8" t="s">
        <v>17</v>
      </c>
      <c r="EG8">
        <v>16</v>
      </c>
      <c r="FD8">
        <f t="shared" si="6"/>
        <v>16</v>
      </c>
      <c r="FG8" t="s">
        <v>17</v>
      </c>
      <c r="FJ8">
        <v>6</v>
      </c>
      <c r="FR8">
        <v>2</v>
      </c>
      <c r="GD8">
        <v>1</v>
      </c>
      <c r="GF8">
        <f t="shared" si="1"/>
        <v>9</v>
      </c>
      <c r="GI8" t="s">
        <v>17</v>
      </c>
      <c r="HG8">
        <f t="shared" si="7"/>
        <v>0</v>
      </c>
      <c r="HJ8" t="s">
        <v>17</v>
      </c>
      <c r="HM8">
        <v>47</v>
      </c>
      <c r="ID8">
        <v>1</v>
      </c>
      <c r="IE8">
        <f t="shared" si="8"/>
        <v>48</v>
      </c>
      <c r="IH8" t="s">
        <v>17</v>
      </c>
      <c r="IK8">
        <v>98</v>
      </c>
      <c r="IN8">
        <v>10</v>
      </c>
      <c r="IQ8">
        <v>1</v>
      </c>
      <c r="JA8">
        <v>27</v>
      </c>
      <c r="JC8">
        <f t="shared" si="9"/>
        <v>136</v>
      </c>
    </row>
    <row r="9" spans="1:263" ht="14.25" x14ac:dyDescent="0.45">
      <c r="B9" t="s">
        <v>19</v>
      </c>
      <c r="Q9">
        <f t="shared" si="0"/>
        <v>0</v>
      </c>
      <c r="T9" t="s">
        <v>20</v>
      </c>
      <c r="AJ9">
        <f t="shared" si="2"/>
        <v>0</v>
      </c>
      <c r="AM9" t="s">
        <v>20</v>
      </c>
      <c r="BD9">
        <f t="shared" si="3"/>
        <v>0</v>
      </c>
      <c r="BH9" t="s">
        <v>19</v>
      </c>
      <c r="CD9">
        <f t="shared" si="4"/>
        <v>0</v>
      </c>
      <c r="CG9" t="s">
        <v>18</v>
      </c>
      <c r="DB9">
        <f t="shared" si="5"/>
        <v>0</v>
      </c>
      <c r="DG9" t="s">
        <v>19</v>
      </c>
      <c r="DK9">
        <v>3</v>
      </c>
      <c r="EA9">
        <f t="shared" si="10"/>
        <v>3</v>
      </c>
      <c r="ED9" t="s">
        <v>18</v>
      </c>
      <c r="FB9">
        <v>1</v>
      </c>
      <c r="FD9">
        <f t="shared" si="6"/>
        <v>1</v>
      </c>
      <c r="FG9" t="s">
        <v>18</v>
      </c>
      <c r="FK9">
        <v>2</v>
      </c>
      <c r="FQ9">
        <v>1</v>
      </c>
      <c r="GF9">
        <f t="shared" si="1"/>
        <v>3</v>
      </c>
      <c r="GI9" t="s">
        <v>18</v>
      </c>
      <c r="HG9">
        <f t="shared" si="7"/>
        <v>0</v>
      </c>
      <c r="HJ9" t="s">
        <v>18</v>
      </c>
      <c r="HN9">
        <v>179</v>
      </c>
      <c r="HS9">
        <v>24</v>
      </c>
      <c r="HU9">
        <v>5</v>
      </c>
      <c r="HW9">
        <v>4</v>
      </c>
      <c r="HZ9">
        <v>1</v>
      </c>
      <c r="ID9">
        <v>40</v>
      </c>
      <c r="IE9">
        <f t="shared" si="8"/>
        <v>253</v>
      </c>
      <c r="IH9" t="s">
        <v>18</v>
      </c>
      <c r="IL9">
        <v>12</v>
      </c>
      <c r="IO9">
        <v>1</v>
      </c>
      <c r="JA9">
        <v>58</v>
      </c>
      <c r="JC9">
        <f t="shared" si="9"/>
        <v>71</v>
      </c>
    </row>
    <row r="10" spans="1:263" ht="14.25" x14ac:dyDescent="0.45">
      <c r="B10" t="s">
        <v>20</v>
      </c>
      <c r="Q10">
        <f t="shared" si="0"/>
        <v>0</v>
      </c>
      <c r="T10" t="s">
        <v>21</v>
      </c>
      <c r="AJ10">
        <f t="shared" si="2"/>
        <v>0</v>
      </c>
      <c r="AM10" t="s">
        <v>21</v>
      </c>
      <c r="BD10">
        <f t="shared" si="3"/>
        <v>0</v>
      </c>
      <c r="BH10" t="s">
        <v>20</v>
      </c>
      <c r="CD10">
        <f t="shared" si="4"/>
        <v>0</v>
      </c>
      <c r="CG10" t="s">
        <v>19</v>
      </c>
      <c r="CL10">
        <v>2</v>
      </c>
      <c r="DB10">
        <f t="shared" si="5"/>
        <v>2</v>
      </c>
      <c r="DG10" t="s">
        <v>37</v>
      </c>
      <c r="EA10">
        <f t="shared" si="10"/>
        <v>0</v>
      </c>
      <c r="ED10" t="s">
        <v>19</v>
      </c>
      <c r="EI10">
        <v>2</v>
      </c>
      <c r="FD10">
        <f t="shared" si="6"/>
        <v>2</v>
      </c>
      <c r="FG10" t="s">
        <v>19</v>
      </c>
      <c r="GF10">
        <f t="shared" si="1"/>
        <v>0</v>
      </c>
      <c r="GI10" t="s">
        <v>19</v>
      </c>
      <c r="HG10">
        <f t="shared" si="7"/>
        <v>0</v>
      </c>
      <c r="HJ10" t="s">
        <v>19</v>
      </c>
      <c r="HO10">
        <v>32</v>
      </c>
      <c r="IE10">
        <f t="shared" si="8"/>
        <v>32</v>
      </c>
      <c r="IH10" t="s">
        <v>19</v>
      </c>
      <c r="IM10">
        <v>1</v>
      </c>
      <c r="JC10">
        <f t="shared" si="9"/>
        <v>1</v>
      </c>
    </row>
    <row r="11" spans="1:263" ht="14.25" x14ac:dyDescent="0.45">
      <c r="B11" t="s">
        <v>21</v>
      </c>
      <c r="Q11">
        <f t="shared" si="0"/>
        <v>0</v>
      </c>
      <c r="T11" t="s">
        <v>22</v>
      </c>
      <c r="AJ11">
        <f t="shared" si="2"/>
        <v>0</v>
      </c>
      <c r="AM11" t="s">
        <v>22</v>
      </c>
      <c r="BD11">
        <f t="shared" si="3"/>
        <v>0</v>
      </c>
      <c r="BH11" t="s">
        <v>39</v>
      </c>
      <c r="CD11">
        <f t="shared" si="4"/>
        <v>0</v>
      </c>
      <c r="CG11" t="s">
        <v>37</v>
      </c>
      <c r="DB11">
        <f t="shared" si="5"/>
        <v>0</v>
      </c>
      <c r="DG11" t="s">
        <v>20</v>
      </c>
      <c r="DM11">
        <v>6</v>
      </c>
      <c r="EA11">
        <f t="shared" si="10"/>
        <v>6</v>
      </c>
      <c r="ED11" t="s">
        <v>37</v>
      </c>
      <c r="FD11">
        <f t="shared" si="6"/>
        <v>0</v>
      </c>
      <c r="FG11" t="s">
        <v>37</v>
      </c>
      <c r="GF11">
        <f t="shared" si="1"/>
        <v>0</v>
      </c>
      <c r="GI11" t="s">
        <v>37</v>
      </c>
      <c r="HG11">
        <f t="shared" si="7"/>
        <v>0</v>
      </c>
      <c r="HJ11" t="s">
        <v>20</v>
      </c>
      <c r="HP11">
        <v>1</v>
      </c>
      <c r="IE11">
        <f t="shared" si="8"/>
        <v>1</v>
      </c>
      <c r="IH11" t="s">
        <v>20</v>
      </c>
      <c r="IN11">
        <v>6</v>
      </c>
      <c r="JC11">
        <f t="shared" si="9"/>
        <v>6</v>
      </c>
    </row>
    <row r="12" spans="1:263" ht="14.25" x14ac:dyDescent="0.45">
      <c r="B12" t="s">
        <v>22</v>
      </c>
      <c r="Q12">
        <f t="shared" si="0"/>
        <v>0</v>
      </c>
      <c r="T12" t="s">
        <v>23</v>
      </c>
      <c r="AJ12">
        <f t="shared" si="2"/>
        <v>0</v>
      </c>
      <c r="AM12" t="s">
        <v>23</v>
      </c>
      <c r="BD12">
        <f t="shared" si="3"/>
        <v>0</v>
      </c>
      <c r="BH12" t="s">
        <v>40</v>
      </c>
      <c r="CD12">
        <f t="shared" si="4"/>
        <v>0</v>
      </c>
      <c r="CG12" t="s">
        <v>20</v>
      </c>
      <c r="CN12">
        <v>1</v>
      </c>
      <c r="DB12">
        <f t="shared" si="5"/>
        <v>1</v>
      </c>
      <c r="DG12" t="s">
        <v>21</v>
      </c>
      <c r="EA12">
        <f t="shared" si="10"/>
        <v>0</v>
      </c>
      <c r="ED12" t="s">
        <v>20</v>
      </c>
      <c r="FD12">
        <f t="shared" si="6"/>
        <v>0</v>
      </c>
      <c r="FG12" t="s">
        <v>20</v>
      </c>
      <c r="FN12">
        <v>1</v>
      </c>
      <c r="GF12">
        <f t="shared" si="1"/>
        <v>1</v>
      </c>
      <c r="GI12" t="s">
        <v>20</v>
      </c>
      <c r="HG12">
        <f t="shared" si="7"/>
        <v>0</v>
      </c>
      <c r="HJ12" t="s">
        <v>39</v>
      </c>
      <c r="IE12">
        <f t="shared" si="8"/>
        <v>0</v>
      </c>
      <c r="IH12" t="s">
        <v>21</v>
      </c>
      <c r="JC12">
        <f t="shared" si="9"/>
        <v>0</v>
      </c>
    </row>
    <row r="13" spans="1:263" ht="14.25" x14ac:dyDescent="0.45">
      <c r="B13" t="s">
        <v>23</v>
      </c>
      <c r="Q13">
        <f t="shared" si="0"/>
        <v>0</v>
      </c>
      <c r="T13" t="s">
        <v>25</v>
      </c>
      <c r="AH13">
        <v>5</v>
      </c>
      <c r="AJ13">
        <f t="shared" si="2"/>
        <v>5</v>
      </c>
      <c r="AM13" t="s">
        <v>33</v>
      </c>
      <c r="BD13">
        <f t="shared" si="3"/>
        <v>0</v>
      </c>
      <c r="BH13" t="s">
        <v>21</v>
      </c>
      <c r="CD13">
        <f t="shared" si="4"/>
        <v>0</v>
      </c>
      <c r="CG13" t="s">
        <v>21</v>
      </c>
      <c r="CO13">
        <v>1</v>
      </c>
      <c r="CS13">
        <v>1</v>
      </c>
      <c r="CV13">
        <v>1</v>
      </c>
      <c r="DB13">
        <f t="shared" si="5"/>
        <v>3</v>
      </c>
      <c r="DG13" t="s">
        <v>22</v>
      </c>
      <c r="DO13">
        <v>25</v>
      </c>
      <c r="DZ13">
        <v>7</v>
      </c>
      <c r="EA13">
        <f t="shared" si="10"/>
        <v>32</v>
      </c>
      <c r="ED13" t="s">
        <v>39</v>
      </c>
      <c r="FD13">
        <f t="shared" si="6"/>
        <v>0</v>
      </c>
      <c r="FG13" t="s">
        <v>39</v>
      </c>
      <c r="GF13">
        <f t="shared" si="1"/>
        <v>0</v>
      </c>
      <c r="GI13" t="s">
        <v>39</v>
      </c>
      <c r="HG13">
        <f t="shared" si="7"/>
        <v>0</v>
      </c>
      <c r="HJ13" t="s">
        <v>21</v>
      </c>
      <c r="HR13">
        <v>49</v>
      </c>
      <c r="HS13">
        <v>1</v>
      </c>
      <c r="IE13">
        <f t="shared" si="8"/>
        <v>50</v>
      </c>
      <c r="IH13" t="s">
        <v>22</v>
      </c>
      <c r="JC13">
        <f t="shared" si="9"/>
        <v>0</v>
      </c>
    </row>
    <row r="14" spans="1:263" ht="14.25" x14ac:dyDescent="0.45">
      <c r="B14" t="s">
        <v>24</v>
      </c>
      <c r="K14">
        <v>3</v>
      </c>
      <c r="Q14">
        <f t="shared" si="0"/>
        <v>3</v>
      </c>
      <c r="T14" t="s">
        <v>24</v>
      </c>
      <c r="AC14">
        <v>5</v>
      </c>
      <c r="AJ14">
        <f t="shared" si="2"/>
        <v>5</v>
      </c>
      <c r="AM14" t="s">
        <v>25</v>
      </c>
      <c r="AN14">
        <v>2</v>
      </c>
      <c r="AQ14">
        <v>2</v>
      </c>
      <c r="AS14">
        <v>1</v>
      </c>
      <c r="BC14">
        <v>3</v>
      </c>
      <c r="BD14">
        <f t="shared" si="3"/>
        <v>8</v>
      </c>
      <c r="BH14" t="s">
        <v>22</v>
      </c>
      <c r="CD14">
        <f t="shared" si="4"/>
        <v>0</v>
      </c>
      <c r="CG14" t="s">
        <v>22</v>
      </c>
      <c r="DB14">
        <f t="shared" si="5"/>
        <v>0</v>
      </c>
      <c r="DG14" t="s">
        <v>23</v>
      </c>
      <c r="EA14">
        <f t="shared" si="10"/>
        <v>0</v>
      </c>
      <c r="ED14" t="s">
        <v>40</v>
      </c>
      <c r="FD14">
        <f t="shared" si="6"/>
        <v>0</v>
      </c>
      <c r="FG14" t="s">
        <v>40</v>
      </c>
      <c r="GF14">
        <f t="shared" si="1"/>
        <v>0</v>
      </c>
      <c r="GI14" t="s">
        <v>40</v>
      </c>
      <c r="GL14" t="s">
        <v>173</v>
      </c>
      <c r="HG14">
        <f t="shared" si="7"/>
        <v>0</v>
      </c>
      <c r="HJ14" t="s">
        <v>22</v>
      </c>
      <c r="HS14">
        <v>9</v>
      </c>
      <c r="IE14">
        <f t="shared" si="8"/>
        <v>9</v>
      </c>
      <c r="IH14" t="s">
        <v>23</v>
      </c>
      <c r="JC14">
        <f t="shared" si="9"/>
        <v>0</v>
      </c>
    </row>
    <row r="15" spans="1:263" ht="14.25" x14ac:dyDescent="0.45">
      <c r="B15" t="s">
        <v>25</v>
      </c>
      <c r="P15">
        <v>2</v>
      </c>
      <c r="Q15">
        <f t="shared" si="0"/>
        <v>2</v>
      </c>
      <c r="T15" t="s">
        <v>31</v>
      </c>
      <c r="AJ15">
        <f t="shared" si="2"/>
        <v>0</v>
      </c>
      <c r="AM15" t="s">
        <v>24</v>
      </c>
      <c r="AW15">
        <v>1</v>
      </c>
      <c r="BD15">
        <f t="shared" si="3"/>
        <v>1</v>
      </c>
      <c r="BH15" t="s">
        <v>23</v>
      </c>
      <c r="CD15">
        <f t="shared" si="4"/>
        <v>0</v>
      </c>
      <c r="CG15" t="s">
        <v>23</v>
      </c>
      <c r="DB15">
        <f t="shared" si="5"/>
        <v>0</v>
      </c>
      <c r="DG15" t="s">
        <v>35</v>
      </c>
      <c r="EA15">
        <f t="shared" si="10"/>
        <v>0</v>
      </c>
      <c r="ED15" t="s">
        <v>21</v>
      </c>
      <c r="FD15">
        <f t="shared" si="6"/>
        <v>0</v>
      </c>
      <c r="FG15" t="s">
        <v>21</v>
      </c>
      <c r="FQ15">
        <v>9</v>
      </c>
      <c r="GF15">
        <f t="shared" si="1"/>
        <v>9</v>
      </c>
      <c r="GI15" t="s">
        <v>21</v>
      </c>
      <c r="HG15">
        <f t="shared" si="7"/>
        <v>0</v>
      </c>
      <c r="HJ15" t="s">
        <v>23</v>
      </c>
      <c r="IE15">
        <f t="shared" si="8"/>
        <v>0</v>
      </c>
      <c r="IH15" t="s">
        <v>35</v>
      </c>
      <c r="JC15">
        <f t="shared" si="9"/>
        <v>0</v>
      </c>
    </row>
    <row r="16" spans="1:263" ht="14.25" x14ac:dyDescent="0.45">
      <c r="B16" t="s">
        <v>26</v>
      </c>
      <c r="Q16">
        <f t="shared" si="0"/>
        <v>0</v>
      </c>
      <c r="T16" t="s">
        <v>26</v>
      </c>
      <c r="AJ16">
        <f t="shared" si="2"/>
        <v>0</v>
      </c>
      <c r="AM16" t="s">
        <v>31</v>
      </c>
      <c r="AX16">
        <v>2</v>
      </c>
      <c r="BD16">
        <f t="shared" si="3"/>
        <v>2</v>
      </c>
      <c r="BH16" t="s">
        <v>35</v>
      </c>
      <c r="CD16">
        <f t="shared" si="4"/>
        <v>0</v>
      </c>
      <c r="CG16" t="s">
        <v>35</v>
      </c>
      <c r="DB16">
        <f t="shared" si="5"/>
        <v>0</v>
      </c>
      <c r="DG16" t="s">
        <v>33</v>
      </c>
      <c r="EA16">
        <f t="shared" si="10"/>
        <v>0</v>
      </c>
      <c r="ED16" t="s">
        <v>22</v>
      </c>
      <c r="FD16">
        <f t="shared" si="6"/>
        <v>0</v>
      </c>
      <c r="FG16" t="s">
        <v>22</v>
      </c>
      <c r="FR16">
        <v>17</v>
      </c>
      <c r="GF16">
        <f t="shared" si="1"/>
        <v>17</v>
      </c>
      <c r="GI16" t="s">
        <v>22</v>
      </c>
      <c r="HG16">
        <f t="shared" si="7"/>
        <v>0</v>
      </c>
      <c r="HJ16" t="s">
        <v>35</v>
      </c>
      <c r="IE16">
        <f t="shared" si="8"/>
        <v>0</v>
      </c>
      <c r="IH16" t="s">
        <v>33</v>
      </c>
      <c r="JC16">
        <f t="shared" si="9"/>
        <v>0</v>
      </c>
    </row>
    <row r="17" spans="2:263" ht="14.25" x14ac:dyDescent="0.45">
      <c r="B17" t="s">
        <v>27</v>
      </c>
      <c r="Q17">
        <f t="shared" si="0"/>
        <v>0</v>
      </c>
      <c r="T17" t="s">
        <v>27</v>
      </c>
      <c r="AJ17">
        <f t="shared" si="2"/>
        <v>0</v>
      </c>
      <c r="AM17" t="s">
        <v>26</v>
      </c>
      <c r="BD17">
        <f t="shared" si="3"/>
        <v>0</v>
      </c>
      <c r="BH17" t="s">
        <v>33</v>
      </c>
      <c r="CD17">
        <f t="shared" si="4"/>
        <v>0</v>
      </c>
      <c r="CG17" t="s">
        <v>33</v>
      </c>
      <c r="CS17">
        <v>1</v>
      </c>
      <c r="DB17">
        <f t="shared" si="5"/>
        <v>1</v>
      </c>
      <c r="DG17" t="s">
        <v>25</v>
      </c>
      <c r="DI17">
        <v>1</v>
      </c>
      <c r="DO17">
        <v>1</v>
      </c>
      <c r="DZ17">
        <v>14</v>
      </c>
      <c r="EA17">
        <f t="shared" si="10"/>
        <v>16</v>
      </c>
      <c r="ED17" t="s">
        <v>23</v>
      </c>
      <c r="FD17">
        <f t="shared" si="6"/>
        <v>0</v>
      </c>
      <c r="FG17" t="s">
        <v>23</v>
      </c>
      <c r="GF17">
        <f t="shared" si="1"/>
        <v>0</v>
      </c>
      <c r="GI17" t="s">
        <v>23</v>
      </c>
      <c r="HG17">
        <f t="shared" si="7"/>
        <v>0</v>
      </c>
      <c r="HJ17" t="s">
        <v>33</v>
      </c>
      <c r="HV17">
        <v>5</v>
      </c>
      <c r="HY17">
        <v>1</v>
      </c>
      <c r="IE17">
        <f t="shared" si="8"/>
        <v>6</v>
      </c>
      <c r="IH17" t="s">
        <v>25</v>
      </c>
      <c r="IK17">
        <v>26</v>
      </c>
      <c r="IM17">
        <v>3</v>
      </c>
      <c r="IN17">
        <v>13</v>
      </c>
      <c r="IO17">
        <v>6</v>
      </c>
      <c r="IP17">
        <v>7</v>
      </c>
      <c r="IT17">
        <v>1</v>
      </c>
      <c r="IU17">
        <v>1</v>
      </c>
      <c r="IZ17">
        <v>54</v>
      </c>
      <c r="JA17">
        <v>249</v>
      </c>
      <c r="JB17">
        <v>1</v>
      </c>
      <c r="JC17">
        <f t="shared" si="9"/>
        <v>361</v>
      </c>
    </row>
    <row r="18" spans="2:263" ht="14.25" x14ac:dyDescent="0.45">
      <c r="B18" t="s">
        <v>28</v>
      </c>
      <c r="Q18">
        <f t="shared" si="0"/>
        <v>0</v>
      </c>
      <c r="T18" t="s">
        <v>28</v>
      </c>
      <c r="AJ18">
        <f t="shared" si="2"/>
        <v>0</v>
      </c>
      <c r="AM18" t="s">
        <v>27</v>
      </c>
      <c r="BD18">
        <f t="shared" si="3"/>
        <v>0</v>
      </c>
      <c r="BH18" t="s">
        <v>25</v>
      </c>
      <c r="BK18">
        <v>2</v>
      </c>
      <c r="BP18">
        <v>20</v>
      </c>
      <c r="BQ18">
        <v>4</v>
      </c>
      <c r="BR18">
        <v>3</v>
      </c>
      <c r="BU18">
        <v>3</v>
      </c>
      <c r="CB18">
        <v>57</v>
      </c>
      <c r="CD18">
        <f t="shared" si="4"/>
        <v>89</v>
      </c>
      <c r="CG18" t="s">
        <v>25</v>
      </c>
      <c r="CJ18">
        <v>1</v>
      </c>
      <c r="CT18">
        <v>1</v>
      </c>
      <c r="CV18">
        <v>1</v>
      </c>
      <c r="CZ18">
        <v>1</v>
      </c>
      <c r="DA18">
        <v>18</v>
      </c>
      <c r="DB18">
        <f t="shared" si="5"/>
        <v>22</v>
      </c>
      <c r="DG18" t="s">
        <v>24</v>
      </c>
      <c r="DT18">
        <v>3</v>
      </c>
      <c r="EA18">
        <f t="shared" si="10"/>
        <v>3</v>
      </c>
      <c r="ED18" t="s">
        <v>35</v>
      </c>
      <c r="FD18">
        <f t="shared" si="6"/>
        <v>0</v>
      </c>
      <c r="FG18" t="s">
        <v>35</v>
      </c>
      <c r="GF18">
        <f t="shared" si="1"/>
        <v>0</v>
      </c>
      <c r="GI18" t="s">
        <v>35</v>
      </c>
      <c r="HG18">
        <f t="shared" si="7"/>
        <v>0</v>
      </c>
      <c r="HJ18" t="s">
        <v>25</v>
      </c>
      <c r="HO18">
        <v>1</v>
      </c>
      <c r="HS18">
        <v>1</v>
      </c>
      <c r="ID18">
        <v>13</v>
      </c>
      <c r="IE18">
        <f t="shared" si="8"/>
        <v>15</v>
      </c>
      <c r="IH18" t="s">
        <v>24</v>
      </c>
      <c r="IU18">
        <v>6</v>
      </c>
      <c r="JC18">
        <f t="shared" si="9"/>
        <v>6</v>
      </c>
    </row>
    <row r="19" spans="2:263" ht="14.25" x14ac:dyDescent="0.45">
      <c r="B19" t="s">
        <v>29</v>
      </c>
      <c r="Q19">
        <f t="shared" si="0"/>
        <v>0</v>
      </c>
      <c r="T19" t="s">
        <v>29</v>
      </c>
      <c r="AH19">
        <v>1</v>
      </c>
      <c r="AJ19">
        <f t="shared" si="2"/>
        <v>1</v>
      </c>
      <c r="AM19" t="s">
        <v>28</v>
      </c>
      <c r="BD19">
        <f t="shared" si="3"/>
        <v>0</v>
      </c>
      <c r="BH19" t="s">
        <v>24</v>
      </c>
      <c r="BV19">
        <v>3</v>
      </c>
      <c r="CD19">
        <f t="shared" si="4"/>
        <v>3</v>
      </c>
      <c r="CG19" t="s">
        <v>24</v>
      </c>
      <c r="CU19">
        <v>12</v>
      </c>
      <c r="DB19">
        <f t="shared" si="5"/>
        <v>12</v>
      </c>
      <c r="DG19" t="s">
        <v>31</v>
      </c>
      <c r="EA19">
        <f t="shared" si="10"/>
        <v>0</v>
      </c>
      <c r="ED19" t="s">
        <v>33</v>
      </c>
      <c r="ER19">
        <v>1</v>
      </c>
      <c r="EU19">
        <v>1</v>
      </c>
      <c r="FD19">
        <f t="shared" si="6"/>
        <v>2</v>
      </c>
      <c r="FG19" t="s">
        <v>33</v>
      </c>
      <c r="GF19">
        <f t="shared" si="1"/>
        <v>0</v>
      </c>
      <c r="GI19" t="s">
        <v>33</v>
      </c>
      <c r="HG19">
        <f t="shared" si="7"/>
        <v>0</v>
      </c>
      <c r="HJ19" t="s">
        <v>24</v>
      </c>
      <c r="HX19">
        <v>22</v>
      </c>
      <c r="IE19">
        <f t="shared" si="8"/>
        <v>22</v>
      </c>
      <c r="IH19" t="s">
        <v>31</v>
      </c>
      <c r="JC19">
        <f t="shared" si="9"/>
        <v>0</v>
      </c>
    </row>
    <row r="20" spans="2:263" ht="14.25" x14ac:dyDescent="0.45">
      <c r="T20" t="s">
        <v>41</v>
      </c>
      <c r="AJ20">
        <f t="shared" si="2"/>
        <v>0</v>
      </c>
      <c r="AM20" t="s">
        <v>34</v>
      </c>
      <c r="BD20">
        <f t="shared" si="3"/>
        <v>0</v>
      </c>
      <c r="BH20" t="s">
        <v>31</v>
      </c>
      <c r="CD20">
        <f t="shared" si="4"/>
        <v>0</v>
      </c>
      <c r="CG20" t="s">
        <v>31</v>
      </c>
      <c r="CV20">
        <v>3</v>
      </c>
      <c r="DB20">
        <f t="shared" si="5"/>
        <v>3</v>
      </c>
      <c r="DG20" t="s">
        <v>26</v>
      </c>
      <c r="EA20">
        <f t="shared" si="10"/>
        <v>0</v>
      </c>
      <c r="ED20" t="s">
        <v>25</v>
      </c>
      <c r="EK20">
        <v>2</v>
      </c>
      <c r="EN20">
        <v>14</v>
      </c>
      <c r="EV20">
        <v>10</v>
      </c>
      <c r="FB20">
        <v>18</v>
      </c>
      <c r="FD20">
        <f t="shared" si="6"/>
        <v>44</v>
      </c>
      <c r="FG20" t="s">
        <v>25</v>
      </c>
      <c r="FV20">
        <v>1</v>
      </c>
      <c r="GA20">
        <v>1</v>
      </c>
      <c r="GD20">
        <v>3</v>
      </c>
      <c r="GF20">
        <f t="shared" si="1"/>
        <v>5</v>
      </c>
      <c r="GI20" t="s">
        <v>25</v>
      </c>
      <c r="HG20">
        <f t="shared" si="7"/>
        <v>0</v>
      </c>
      <c r="HJ20" t="s">
        <v>31</v>
      </c>
      <c r="HS20">
        <v>1</v>
      </c>
      <c r="HY20">
        <v>17</v>
      </c>
      <c r="HZ20">
        <v>1</v>
      </c>
      <c r="ID20">
        <v>1</v>
      </c>
      <c r="IE20">
        <f t="shared" si="8"/>
        <v>20</v>
      </c>
      <c r="IH20" t="s">
        <v>26</v>
      </c>
      <c r="IW20">
        <v>5</v>
      </c>
      <c r="JA20">
        <v>2</v>
      </c>
      <c r="JC20">
        <f t="shared" si="9"/>
        <v>7</v>
      </c>
    </row>
    <row r="21" spans="2:263" ht="14.25" x14ac:dyDescent="0.45">
      <c r="AM21" t="s">
        <v>29</v>
      </c>
      <c r="AS21">
        <v>1</v>
      </c>
      <c r="AX21">
        <v>2</v>
      </c>
      <c r="BB21">
        <v>1</v>
      </c>
      <c r="BC21">
        <v>16</v>
      </c>
      <c r="BD21">
        <f t="shared" si="3"/>
        <v>20</v>
      </c>
      <c r="BH21" t="s">
        <v>26</v>
      </c>
      <c r="BX21">
        <v>3</v>
      </c>
      <c r="CD21">
        <f t="shared" si="4"/>
        <v>3</v>
      </c>
      <c r="CG21" t="s">
        <v>26</v>
      </c>
      <c r="CW21">
        <v>18</v>
      </c>
      <c r="DB21">
        <f t="shared" si="5"/>
        <v>18</v>
      </c>
      <c r="DG21" t="s">
        <v>27</v>
      </c>
      <c r="EA21">
        <f t="shared" si="10"/>
        <v>0</v>
      </c>
      <c r="ED21" t="s">
        <v>24</v>
      </c>
      <c r="ES21">
        <v>8</v>
      </c>
      <c r="FD21">
        <f t="shared" si="6"/>
        <v>8</v>
      </c>
      <c r="FG21" t="s">
        <v>24</v>
      </c>
      <c r="FW21">
        <v>3</v>
      </c>
      <c r="GF21">
        <f t="shared" si="1"/>
        <v>3</v>
      </c>
      <c r="GI21" t="s">
        <v>24</v>
      </c>
      <c r="HG21">
        <f t="shared" si="7"/>
        <v>0</v>
      </c>
      <c r="HJ21" t="s">
        <v>26</v>
      </c>
      <c r="HZ21">
        <v>98</v>
      </c>
      <c r="ID21">
        <v>7</v>
      </c>
      <c r="IE21">
        <f t="shared" si="8"/>
        <v>105</v>
      </c>
      <c r="IH21" t="s">
        <v>138</v>
      </c>
      <c r="JC21">
        <f t="shared" si="9"/>
        <v>0</v>
      </c>
    </row>
    <row r="22" spans="2:263" ht="14.25" x14ac:dyDescent="0.45">
      <c r="BH22" t="s">
        <v>27</v>
      </c>
      <c r="CD22">
        <f t="shared" si="4"/>
        <v>0</v>
      </c>
      <c r="CG22" t="s">
        <v>27</v>
      </c>
      <c r="DB22">
        <f t="shared" si="5"/>
        <v>0</v>
      </c>
      <c r="DG22" t="s">
        <v>28</v>
      </c>
      <c r="EA22">
        <f t="shared" si="10"/>
        <v>0</v>
      </c>
      <c r="ED22" t="s">
        <v>31</v>
      </c>
      <c r="FD22">
        <f t="shared" si="6"/>
        <v>0</v>
      </c>
      <c r="FG22" t="s">
        <v>31</v>
      </c>
      <c r="GF22">
        <f t="shared" si="1"/>
        <v>0</v>
      </c>
      <c r="GI22" t="s">
        <v>31</v>
      </c>
      <c r="HG22">
        <f t="shared" si="7"/>
        <v>0</v>
      </c>
      <c r="HJ22" t="s">
        <v>27</v>
      </c>
      <c r="IE22">
        <f t="shared" si="8"/>
        <v>0</v>
      </c>
      <c r="IH22" t="s">
        <v>43</v>
      </c>
      <c r="JC22">
        <f t="shared" si="9"/>
        <v>0</v>
      </c>
    </row>
    <row r="23" spans="2:263" ht="14.25" x14ac:dyDescent="0.45">
      <c r="BH23" t="s">
        <v>28</v>
      </c>
      <c r="CD23">
        <f t="shared" si="4"/>
        <v>0</v>
      </c>
      <c r="CG23" t="s">
        <v>28</v>
      </c>
      <c r="DB23">
        <f t="shared" si="5"/>
        <v>0</v>
      </c>
      <c r="DG23" t="s">
        <v>34</v>
      </c>
      <c r="EA23">
        <f t="shared" si="10"/>
        <v>0</v>
      </c>
      <c r="ED23" t="s">
        <v>26</v>
      </c>
      <c r="EV23">
        <v>17</v>
      </c>
      <c r="FD23">
        <f t="shared" si="6"/>
        <v>17</v>
      </c>
      <c r="FG23" t="s">
        <v>26</v>
      </c>
      <c r="FY23">
        <v>1</v>
      </c>
      <c r="GF23">
        <f t="shared" si="1"/>
        <v>1</v>
      </c>
      <c r="GI23" t="s">
        <v>26</v>
      </c>
      <c r="HG23">
        <f t="shared" si="7"/>
        <v>0</v>
      </c>
      <c r="HJ23" t="s">
        <v>28</v>
      </c>
      <c r="IE23">
        <f t="shared" si="8"/>
        <v>0</v>
      </c>
      <c r="IH23" t="s">
        <v>27</v>
      </c>
      <c r="JC23">
        <f t="shared" si="9"/>
        <v>0</v>
      </c>
    </row>
    <row r="24" spans="2:263" ht="14.25" x14ac:dyDescent="0.45">
      <c r="BH24" t="s">
        <v>34</v>
      </c>
      <c r="CD24">
        <f t="shared" si="4"/>
        <v>0</v>
      </c>
      <c r="CG24" t="s">
        <v>34</v>
      </c>
      <c r="DB24">
        <f t="shared" si="5"/>
        <v>0</v>
      </c>
      <c r="DG24" t="s">
        <v>29</v>
      </c>
      <c r="DV24">
        <v>3</v>
      </c>
      <c r="DZ24">
        <v>1</v>
      </c>
      <c r="EA24">
        <f t="shared" si="10"/>
        <v>4</v>
      </c>
      <c r="ED24" t="s">
        <v>138</v>
      </c>
      <c r="FD24">
        <f t="shared" si="6"/>
        <v>0</v>
      </c>
      <c r="FG24" t="s">
        <v>43</v>
      </c>
      <c r="GF24">
        <f t="shared" si="1"/>
        <v>0</v>
      </c>
      <c r="GI24" t="s">
        <v>43</v>
      </c>
      <c r="HG24">
        <f t="shared" si="7"/>
        <v>0</v>
      </c>
      <c r="HJ24" t="s">
        <v>34</v>
      </c>
      <c r="IE24">
        <f t="shared" si="8"/>
        <v>0</v>
      </c>
      <c r="IH24" t="s">
        <v>29</v>
      </c>
      <c r="IN24">
        <v>1</v>
      </c>
      <c r="IO24">
        <v>1</v>
      </c>
      <c r="IP24">
        <v>5</v>
      </c>
      <c r="IR24">
        <v>2</v>
      </c>
      <c r="IS24">
        <v>1</v>
      </c>
      <c r="IT24">
        <v>1</v>
      </c>
      <c r="IW24">
        <v>1</v>
      </c>
      <c r="JA24">
        <v>22</v>
      </c>
      <c r="JC24">
        <f t="shared" si="9"/>
        <v>34</v>
      </c>
    </row>
    <row r="25" spans="2:263" ht="14.25" x14ac:dyDescent="0.45">
      <c r="BH25" t="s">
        <v>29</v>
      </c>
      <c r="BQ25">
        <v>2</v>
      </c>
      <c r="BS25">
        <v>2</v>
      </c>
      <c r="CB25">
        <v>6</v>
      </c>
      <c r="CD25">
        <f t="shared" si="4"/>
        <v>10</v>
      </c>
      <c r="CG25" t="s">
        <v>29</v>
      </c>
      <c r="CP25">
        <v>1</v>
      </c>
      <c r="DA25">
        <v>4</v>
      </c>
      <c r="DB25">
        <f t="shared" si="5"/>
        <v>5</v>
      </c>
      <c r="ED25" t="s">
        <v>43</v>
      </c>
      <c r="FD25">
        <f t="shared" si="6"/>
        <v>0</v>
      </c>
      <c r="FG25" t="s">
        <v>27</v>
      </c>
      <c r="GF25">
        <f t="shared" si="1"/>
        <v>0</v>
      </c>
      <c r="GI25" t="s">
        <v>27</v>
      </c>
      <c r="HG25">
        <f t="shared" si="7"/>
        <v>0</v>
      </c>
      <c r="HJ25" t="s">
        <v>29</v>
      </c>
      <c r="HM25">
        <v>19</v>
      </c>
      <c r="HR25">
        <v>6</v>
      </c>
      <c r="HS25">
        <v>10</v>
      </c>
      <c r="HU25">
        <v>1</v>
      </c>
      <c r="HW25">
        <v>2</v>
      </c>
      <c r="HY25">
        <v>1</v>
      </c>
      <c r="HZ25">
        <v>6</v>
      </c>
      <c r="ID25">
        <v>11</v>
      </c>
      <c r="IE25">
        <f t="shared" si="8"/>
        <v>56</v>
      </c>
      <c r="IH25" t="s">
        <v>34</v>
      </c>
      <c r="JC25">
        <f t="shared" si="9"/>
        <v>0</v>
      </c>
    </row>
    <row r="26" spans="2:263" ht="14.25" x14ac:dyDescent="0.45">
      <c r="BH26" t="s">
        <v>42</v>
      </c>
      <c r="CD26">
        <f t="shared" si="4"/>
        <v>0</v>
      </c>
      <c r="ED26" t="s">
        <v>27</v>
      </c>
      <c r="FD26">
        <f t="shared" si="6"/>
        <v>0</v>
      </c>
      <c r="FG26" t="s">
        <v>28</v>
      </c>
      <c r="GF26">
        <f t="shared" si="1"/>
        <v>0</v>
      </c>
      <c r="GI26" t="s">
        <v>28</v>
      </c>
      <c r="HG26">
        <f t="shared" si="7"/>
        <v>0</v>
      </c>
    </row>
    <row r="27" spans="2:263" ht="15" customHeight="1" x14ac:dyDescent="0.45">
      <c r="ED27" t="s">
        <v>28</v>
      </c>
      <c r="FD27">
        <f t="shared" si="6"/>
        <v>0</v>
      </c>
      <c r="FG27" t="s">
        <v>34</v>
      </c>
      <c r="GF27">
        <f t="shared" si="1"/>
        <v>0</v>
      </c>
      <c r="GI27" t="s">
        <v>34</v>
      </c>
      <c r="HG27">
        <f t="shared" si="7"/>
        <v>0</v>
      </c>
    </row>
    <row r="28" spans="2:263" ht="15" customHeight="1" x14ac:dyDescent="0.45">
      <c r="ED28" t="s">
        <v>34</v>
      </c>
      <c r="FD28">
        <f t="shared" si="6"/>
        <v>0</v>
      </c>
      <c r="FG28" t="s">
        <v>29</v>
      </c>
      <c r="FQ28">
        <v>4</v>
      </c>
      <c r="FR28">
        <v>2</v>
      </c>
      <c r="FX28">
        <v>1</v>
      </c>
      <c r="FY28">
        <v>3</v>
      </c>
      <c r="GA28">
        <v>2</v>
      </c>
      <c r="GD28">
        <v>3</v>
      </c>
      <c r="GF28">
        <f t="shared" si="1"/>
        <v>15</v>
      </c>
      <c r="GI28" t="s">
        <v>29</v>
      </c>
      <c r="HG28">
        <f t="shared" si="7"/>
        <v>0</v>
      </c>
    </row>
    <row r="29" spans="2:263" ht="15" customHeight="1" x14ac:dyDescent="0.45">
      <c r="ED29" t="s">
        <v>29</v>
      </c>
      <c r="EN29">
        <v>3</v>
      </c>
      <c r="ET29">
        <v>3</v>
      </c>
      <c r="EU29">
        <v>2</v>
      </c>
      <c r="FB29">
        <v>6</v>
      </c>
      <c r="FD29">
        <f t="shared" si="6"/>
        <v>14</v>
      </c>
      <c r="FG29" t="s">
        <v>42</v>
      </c>
      <c r="GF29">
        <f t="shared" si="1"/>
        <v>0</v>
      </c>
    </row>
    <row r="30" spans="2:263" ht="15" customHeight="1" x14ac:dyDescent="0.45">
      <c r="ED30" t="s">
        <v>42</v>
      </c>
      <c r="FD30">
        <f t="shared" si="6"/>
        <v>0</v>
      </c>
    </row>
    <row r="33" spans="139:139" ht="15" customHeight="1" x14ac:dyDescent="0.45">
      <c r="EI33" t="s">
        <v>139</v>
      </c>
    </row>
    <row r="34" spans="139:139" ht="15" customHeight="1" x14ac:dyDescent="0.45">
      <c r="EI34" t="s">
        <v>140</v>
      </c>
    </row>
    <row r="35" spans="139:139" ht="15" customHeight="1" x14ac:dyDescent="0.45">
      <c r="EI35" t="s">
        <v>141</v>
      </c>
    </row>
    <row r="36" spans="139:139" ht="15" customHeight="1" x14ac:dyDescent="0.45">
      <c r="EI36" t="s">
        <v>142</v>
      </c>
    </row>
    <row r="37" spans="139:139" ht="15" customHeight="1" x14ac:dyDescent="0.45">
      <c r="EI37" t="s">
        <v>143</v>
      </c>
    </row>
  </sheetData>
  <mergeCells count="11">
    <mergeCell ref="EG4:EH4"/>
    <mergeCell ref="FI4:FJ4"/>
    <mergeCell ref="HL4:HM4"/>
    <mergeCell ref="IJ4:IK4"/>
    <mergeCell ref="A6:A7"/>
    <mergeCell ref="E4:H4"/>
    <mergeCell ref="V4:W4"/>
    <mergeCell ref="AO4:AP4"/>
    <mergeCell ref="BL4:BM4"/>
    <mergeCell ref="CL4:CN4"/>
    <mergeCell ref="DJ4:DK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87AA5-FECF-4AC8-8092-8E6A061A22B2}">
  <dimension ref="A1:U11"/>
  <sheetViews>
    <sheetView workbookViewId="0">
      <selection activeCell="L22" sqref="L22"/>
    </sheetView>
  </sheetViews>
  <sheetFormatPr defaultRowHeight="14.25" x14ac:dyDescent="0.45"/>
  <sheetData>
    <row r="1" spans="1:21" x14ac:dyDescent="0.45">
      <c r="A1" t="s">
        <v>44</v>
      </c>
    </row>
    <row r="3" spans="1:21" x14ac:dyDescent="0.45">
      <c r="A3" t="s">
        <v>1</v>
      </c>
      <c r="C3" t="s">
        <v>2</v>
      </c>
      <c r="E3" t="s">
        <v>3</v>
      </c>
      <c r="G3" t="s">
        <v>4</v>
      </c>
      <c r="I3" t="s">
        <v>5</v>
      </c>
      <c r="K3" t="s">
        <v>6</v>
      </c>
      <c r="M3" t="s">
        <v>7</v>
      </c>
      <c r="O3" t="s">
        <v>8</v>
      </c>
      <c r="Q3" t="s">
        <v>9</v>
      </c>
      <c r="S3" t="s">
        <v>10</v>
      </c>
      <c r="U3" t="s">
        <v>11</v>
      </c>
    </row>
    <row r="4" spans="1:21" x14ac:dyDescent="0.45">
      <c r="G4" t="s">
        <v>174</v>
      </c>
      <c r="I4" t="s">
        <v>147</v>
      </c>
      <c r="K4" t="s">
        <v>175</v>
      </c>
      <c r="M4" t="s">
        <v>109</v>
      </c>
      <c r="O4" t="s">
        <v>176</v>
      </c>
      <c r="Q4" t="s">
        <v>177</v>
      </c>
      <c r="S4" t="s">
        <v>109</v>
      </c>
      <c r="U4" t="s">
        <v>97</v>
      </c>
    </row>
    <row r="5" spans="1:21" x14ac:dyDescent="0.45">
      <c r="G5" t="s">
        <v>178</v>
      </c>
      <c r="I5" t="s">
        <v>179</v>
      </c>
      <c r="K5" t="s">
        <v>180</v>
      </c>
      <c r="O5" t="s">
        <v>181</v>
      </c>
      <c r="Q5" t="s">
        <v>74</v>
      </c>
      <c r="U5" t="s">
        <v>93</v>
      </c>
    </row>
    <row r="6" spans="1:21" x14ac:dyDescent="0.45">
      <c r="A6" t="s">
        <v>182</v>
      </c>
      <c r="G6" t="s">
        <v>112</v>
      </c>
      <c r="I6" t="s">
        <v>183</v>
      </c>
      <c r="K6" t="s">
        <v>184</v>
      </c>
      <c r="U6" t="s">
        <v>149</v>
      </c>
    </row>
    <row r="7" spans="1:21" x14ac:dyDescent="0.45">
      <c r="A7" t="s">
        <v>185</v>
      </c>
      <c r="G7" t="s">
        <v>186</v>
      </c>
      <c r="K7" t="s">
        <v>187</v>
      </c>
      <c r="U7" t="s">
        <v>153</v>
      </c>
    </row>
    <row r="8" spans="1:21" x14ac:dyDescent="0.45">
      <c r="A8" t="s">
        <v>188</v>
      </c>
      <c r="G8" t="s">
        <v>189</v>
      </c>
      <c r="K8" t="s">
        <v>190</v>
      </c>
      <c r="U8" t="s">
        <v>191</v>
      </c>
    </row>
    <row r="9" spans="1:21" x14ac:dyDescent="0.45">
      <c r="K9" t="s">
        <v>192</v>
      </c>
      <c r="U9" t="s">
        <v>63</v>
      </c>
    </row>
    <row r="10" spans="1:21" x14ac:dyDescent="0.45">
      <c r="U10" t="s">
        <v>161</v>
      </c>
    </row>
    <row r="11" spans="1:21" x14ac:dyDescent="0.45">
      <c r="U11" t="s">
        <v>193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F6EE6-6535-4EB7-9302-5304706697E0}">
  <dimension ref="A1:JD37"/>
  <sheetViews>
    <sheetView topLeftCell="BF1" zoomScale="80" zoomScaleNormal="80" workbookViewId="0">
      <selection activeCell="BY23" sqref="BY23"/>
    </sheetView>
  </sheetViews>
  <sheetFormatPr defaultRowHeight="15" customHeight="1" x14ac:dyDescent="0.45"/>
  <cols>
    <col min="1" max="1" width="5.73046875" bestFit="1" customWidth="1"/>
    <col min="2" max="2" width="13.86328125" bestFit="1" customWidth="1"/>
    <col min="3" max="3" width="6.1328125" bestFit="1" customWidth="1"/>
    <col min="4" max="4" width="4" bestFit="1" customWidth="1"/>
    <col min="5" max="5" width="4.3984375" bestFit="1" customWidth="1"/>
    <col min="6" max="6" width="6.265625" bestFit="1" customWidth="1"/>
    <col min="7" max="7" width="5.73046875" bestFit="1" customWidth="1"/>
    <col min="8" max="8" width="6.1328125" bestFit="1" customWidth="1"/>
    <col min="9" max="9" width="4.3984375" bestFit="1" customWidth="1"/>
    <col min="10" max="10" width="3.86328125" bestFit="1" customWidth="1"/>
    <col min="11" max="11" width="6" bestFit="1" customWidth="1"/>
    <col min="12" max="12" width="11.1328125" bestFit="1" customWidth="1"/>
    <col min="13" max="13" width="7.265625" bestFit="1" customWidth="1"/>
    <col min="14" max="14" width="6.3984375" bestFit="1" customWidth="1"/>
    <col min="15" max="15" width="5.265625" bestFit="1" customWidth="1"/>
    <col min="16" max="16" width="10.59765625" bestFit="1" customWidth="1"/>
    <col min="17" max="17" width="4.73046875" bestFit="1" customWidth="1"/>
    <col min="18" max="18" width="8" customWidth="1"/>
    <col min="19" max="19" width="5.73046875" bestFit="1" customWidth="1"/>
    <col min="20" max="20" width="12.3984375" bestFit="1" customWidth="1"/>
    <col min="21" max="21" width="4" bestFit="1" customWidth="1"/>
    <col min="22" max="22" width="4.3984375" bestFit="1" customWidth="1"/>
    <col min="23" max="23" width="6.265625" bestFit="1" customWidth="1"/>
    <col min="24" max="24" width="5.73046875" bestFit="1" customWidth="1"/>
    <col min="25" max="25" width="6.1328125" bestFit="1" customWidth="1"/>
    <col min="26" max="26" width="4.3984375" bestFit="1" customWidth="1"/>
    <col min="27" max="27" width="3.86328125" bestFit="1" customWidth="1"/>
    <col min="28" max="28" width="11.1328125" bestFit="1" customWidth="1"/>
    <col min="29" max="29" width="6.1328125" bestFit="1" customWidth="1"/>
    <col min="30" max="30" width="6" bestFit="1" customWidth="1"/>
    <col min="31" max="31" width="7.265625" bestFit="1" customWidth="1"/>
    <col min="32" max="32" width="6.59765625" bestFit="1" customWidth="1"/>
    <col min="33" max="33" width="5.265625" bestFit="1" customWidth="1"/>
    <col min="34" max="34" width="10.73046875" bestFit="1" customWidth="1"/>
    <col min="35" max="35" width="8.3984375" bestFit="1" customWidth="1"/>
    <col min="36" max="36" width="4.86328125" bestFit="1" customWidth="1"/>
    <col min="37" max="37" width="4.86328125" customWidth="1"/>
    <col min="38" max="38" width="5.73046875" bestFit="1" customWidth="1"/>
    <col min="39" max="39" width="12.3984375" bestFit="1" customWidth="1"/>
    <col min="40" max="40" width="4" bestFit="1" customWidth="1"/>
    <col min="41" max="41" width="4.3984375" bestFit="1" customWidth="1"/>
    <col min="42" max="42" width="6.265625" bestFit="1" customWidth="1"/>
    <col min="43" max="43" width="5.73046875" bestFit="1" customWidth="1"/>
    <col min="44" max="44" width="6.1328125" bestFit="1" customWidth="1"/>
    <col min="45" max="45" width="4.3984375" bestFit="1" customWidth="1"/>
    <col min="46" max="46" width="3.86328125" bestFit="1" customWidth="1"/>
    <col min="47" max="47" width="8" bestFit="1" customWidth="1"/>
    <col min="48" max="48" width="11.1328125" bestFit="1" customWidth="1"/>
    <col min="49" max="49" width="6" bestFit="1" customWidth="1"/>
    <col min="50" max="50" width="5.86328125" bestFit="1" customWidth="1"/>
    <col min="51" max="51" width="7.265625" bestFit="1" customWidth="1"/>
    <col min="52" max="52" width="6.3984375" bestFit="1" customWidth="1"/>
    <col min="53" max="53" width="5.265625" bestFit="1" customWidth="1"/>
    <col min="54" max="54" width="6.86328125" bestFit="1" customWidth="1"/>
    <col min="55" max="55" width="10.59765625" bestFit="1" customWidth="1"/>
    <col min="56" max="57" width="9.265625" customWidth="1"/>
    <col min="60" max="60" width="14.265625" bestFit="1" customWidth="1"/>
    <col min="61" max="61" width="7.1328125" bestFit="1" customWidth="1"/>
    <col min="62" max="62" width="4.73046875" bestFit="1" customWidth="1"/>
    <col min="63" max="63" width="5.1328125" bestFit="1" customWidth="1"/>
    <col min="64" max="64" width="7.265625" bestFit="1" customWidth="1"/>
    <col min="65" max="65" width="6.73046875" bestFit="1" customWidth="1"/>
    <col min="66" max="67" width="6.73046875" customWidth="1"/>
    <col min="68" max="68" width="7.265625" bestFit="1" customWidth="1"/>
    <col min="69" max="69" width="5.265625" bestFit="1" customWidth="1"/>
    <col min="70" max="70" width="4.59765625" bestFit="1" customWidth="1"/>
    <col min="71" max="71" width="4.1328125" bestFit="1" customWidth="1"/>
    <col min="72" max="72" width="9.59765625" bestFit="1" customWidth="1"/>
    <col min="73" max="73" width="12.86328125" bestFit="1" customWidth="1"/>
    <col min="74" max="74" width="7.1328125" bestFit="1" customWidth="1"/>
    <col min="75" max="75" width="6.86328125" bestFit="1" customWidth="1"/>
    <col min="76" max="76" width="8.59765625" bestFit="1" customWidth="1"/>
    <col min="77" max="77" width="7.3984375" bestFit="1" customWidth="1"/>
    <col min="78" max="78" width="6.265625" bestFit="1" customWidth="1"/>
    <col min="79" max="79" width="7.86328125" bestFit="1" customWidth="1"/>
    <col min="80" max="80" width="12" bestFit="1" customWidth="1"/>
    <col min="81" max="81" width="7.59765625" bestFit="1" customWidth="1"/>
    <col min="82" max="82" width="6" bestFit="1" customWidth="1"/>
    <col min="83" max="83" width="10.73046875" customWidth="1"/>
    <col min="85" max="85" width="14.265625" bestFit="1" customWidth="1"/>
    <col min="86" max="86" width="9.59765625" bestFit="1" customWidth="1"/>
    <col min="87" max="87" width="7.73046875" bestFit="1" customWidth="1"/>
    <col min="88" max="88" width="4.73046875" bestFit="1" customWidth="1"/>
    <col min="89" max="89" width="5.1328125" bestFit="1" customWidth="1"/>
    <col min="90" max="90" width="7.265625" bestFit="1" customWidth="1"/>
    <col min="91" max="91" width="4" bestFit="1" customWidth="1"/>
    <col min="92" max="92" width="6.73046875" bestFit="1" customWidth="1"/>
    <col min="93" max="93" width="7.265625" bestFit="1" customWidth="1"/>
    <col min="94" max="94" width="5.265625" bestFit="1" customWidth="1"/>
    <col min="95" max="95" width="4.59765625" bestFit="1" customWidth="1"/>
    <col min="96" max="96" width="4.1328125" bestFit="1" customWidth="1"/>
    <col min="97" max="97" width="9.265625" bestFit="1" customWidth="1"/>
    <col min="98" max="98" width="12.86328125" bestFit="1" customWidth="1"/>
    <col min="99" max="99" width="7.1328125" bestFit="1" customWidth="1"/>
    <col min="100" max="100" width="6.86328125" bestFit="1" customWidth="1"/>
    <col min="101" max="101" width="8.59765625" bestFit="1" customWidth="1"/>
    <col min="102" max="102" width="7.3984375" bestFit="1" customWidth="1"/>
    <col min="103" max="103" width="6.265625" bestFit="1" customWidth="1"/>
    <col min="104" max="104" width="12" bestFit="1" customWidth="1"/>
    <col min="105" max="105" width="7.265625" bestFit="1" customWidth="1"/>
    <col min="106" max="106" width="5.59765625" bestFit="1" customWidth="1"/>
    <col min="111" max="111" width="12.3984375" bestFit="1" customWidth="1"/>
    <col min="112" max="112" width="6.59765625" bestFit="1" customWidth="1"/>
    <col min="113" max="114" width="4.3984375" bestFit="1" customWidth="1"/>
    <col min="115" max="115" width="6.265625" bestFit="1" customWidth="1"/>
    <col min="116" max="116" width="3.265625" bestFit="1" customWidth="1"/>
    <col min="117" max="117" width="5.73046875" bestFit="1" customWidth="1"/>
    <col min="118" max="118" width="6.1328125" bestFit="1" customWidth="1"/>
    <col min="119" max="119" width="4.3984375" bestFit="1" customWidth="1"/>
    <col min="120" max="120" width="3.86328125" bestFit="1" customWidth="1"/>
    <col min="121" max="121" width="3.3984375" bestFit="1" customWidth="1"/>
    <col min="122" max="122" width="8" bestFit="1" customWidth="1"/>
    <col min="123" max="123" width="11.1328125" bestFit="1" customWidth="1"/>
    <col min="124" max="124" width="6" bestFit="1" customWidth="1"/>
    <col min="125" max="125" width="5.86328125" bestFit="1" customWidth="1"/>
    <col min="126" max="126" width="7.265625" bestFit="1" customWidth="1"/>
    <col min="127" max="127" width="6.3984375" bestFit="1" customWidth="1"/>
    <col min="128" max="128" width="5.265625" bestFit="1" customWidth="1"/>
    <col min="129" max="129" width="6.86328125" bestFit="1" customWidth="1"/>
    <col min="130" max="130" width="10.59765625" bestFit="1" customWidth="1"/>
    <col min="131" max="131" width="5" bestFit="1" customWidth="1"/>
    <col min="132" max="132" width="6.3984375" customWidth="1"/>
    <col min="133" max="133" width="6" bestFit="1" customWidth="1"/>
    <col min="134" max="134" width="13" bestFit="1" customWidth="1"/>
    <col min="135" max="135" width="13" customWidth="1"/>
    <col min="136" max="136" width="7.73046875" bestFit="1" customWidth="1"/>
    <col min="137" max="137" width="4.73046875" bestFit="1" customWidth="1"/>
    <col min="138" max="138" width="5.3984375" bestFit="1" customWidth="1"/>
    <col min="139" max="139" width="7.265625" bestFit="1" customWidth="1"/>
    <col min="140" max="140" width="4" bestFit="1" customWidth="1"/>
    <col min="141" max="141" width="6.73046875" bestFit="1" customWidth="1"/>
    <col min="142" max="142" width="7.265625" bestFit="1" customWidth="1"/>
    <col min="143" max="143" width="5" bestFit="1" customWidth="1"/>
    <col min="144" max="144" width="7.265625" bestFit="1" customWidth="1"/>
    <col min="145" max="145" width="5.265625" bestFit="1" customWidth="1"/>
    <col min="146" max="146" width="4.59765625" bestFit="1" customWidth="1"/>
    <col min="147" max="147" width="4.1328125" bestFit="1" customWidth="1"/>
    <col min="148" max="148" width="9.265625" bestFit="1" customWidth="1"/>
    <col min="149" max="149" width="12.86328125" bestFit="1" customWidth="1"/>
    <col min="150" max="150" width="7.1328125" bestFit="1" customWidth="1"/>
    <col min="151" max="151" width="6.86328125" bestFit="1" customWidth="1"/>
    <col min="152" max="152" width="8.59765625" bestFit="1" customWidth="1"/>
    <col min="153" max="154" width="8.59765625" customWidth="1"/>
    <col min="155" max="155" width="7.3984375" bestFit="1" customWidth="1"/>
    <col min="156" max="156" width="6.265625" bestFit="1" customWidth="1"/>
    <col min="157" max="157" width="7.86328125" bestFit="1" customWidth="1"/>
    <col min="158" max="158" width="12" bestFit="1" customWidth="1"/>
    <col min="159" max="159" width="7.59765625" bestFit="1" customWidth="1"/>
    <col min="163" max="163" width="14.265625" bestFit="1" customWidth="1"/>
    <col min="164" max="164" width="9.59765625" bestFit="1" customWidth="1"/>
    <col min="165" max="165" width="7.73046875" bestFit="1" customWidth="1"/>
    <col min="166" max="166" width="4.73046875" bestFit="1" customWidth="1"/>
    <col min="167" max="167" width="5.1328125" bestFit="1" customWidth="1"/>
    <col min="168" max="168" width="7.265625" bestFit="1" customWidth="1"/>
    <col min="169" max="169" width="4" bestFit="1" customWidth="1"/>
    <col min="170" max="170" width="6.73046875" bestFit="1" customWidth="1"/>
    <col min="171" max="171" width="7.265625" bestFit="1" customWidth="1"/>
    <col min="172" max="172" width="5" bestFit="1" customWidth="1"/>
    <col min="173" max="173" width="7.265625" bestFit="1" customWidth="1"/>
    <col min="174" max="174" width="5.265625" bestFit="1" customWidth="1"/>
    <col min="175" max="175" width="4.59765625" bestFit="1" customWidth="1"/>
    <col min="176" max="176" width="4.1328125" bestFit="1" customWidth="1"/>
    <col min="177" max="177" width="9.265625" bestFit="1" customWidth="1"/>
    <col min="178" max="178" width="12.86328125" bestFit="1" customWidth="1"/>
    <col min="179" max="179" width="7.1328125" bestFit="1" customWidth="1"/>
    <col min="180" max="180" width="6.86328125" bestFit="1" customWidth="1"/>
    <col min="181" max="181" width="8.59765625" bestFit="1" customWidth="1"/>
    <col min="182" max="182" width="8.59765625" customWidth="1"/>
    <col min="183" max="183" width="7.3984375" bestFit="1" customWidth="1"/>
    <col min="184" max="184" width="6.265625" bestFit="1" customWidth="1"/>
    <col min="185" max="185" width="7.86328125" bestFit="1" customWidth="1"/>
    <col min="186" max="186" width="12" bestFit="1" customWidth="1"/>
    <col min="187" max="187" width="7.59765625" bestFit="1" customWidth="1"/>
    <col min="188" max="188" width="5.59765625" bestFit="1" customWidth="1"/>
    <col min="191" max="191" width="13" bestFit="1" customWidth="1"/>
    <col min="192" max="192" width="8.73046875" bestFit="1" customWidth="1"/>
    <col min="193" max="193" width="6.73046875" bestFit="1" customWidth="1"/>
    <col min="194" max="194" width="4" bestFit="1" customWidth="1"/>
    <col min="195" max="195" width="4.59765625" bestFit="1" customWidth="1"/>
    <col min="196" max="196" width="6.3984375" bestFit="1" customWidth="1"/>
    <col min="197" max="197" width="3.3984375" bestFit="1" customWidth="1"/>
    <col min="198" max="198" width="6" bestFit="1" customWidth="1"/>
    <col min="199" max="199" width="6.59765625" bestFit="1" customWidth="1"/>
    <col min="200" max="200" width="4.265625" bestFit="1" customWidth="1"/>
    <col min="201" max="201" width="6.59765625" bestFit="1" customWidth="1"/>
    <col min="202" max="202" width="4.73046875" bestFit="1" customWidth="1"/>
    <col min="203" max="203" width="4" bestFit="1" customWidth="1"/>
    <col min="204" max="204" width="3.73046875" bestFit="1" customWidth="1"/>
    <col min="205" max="205" width="8.3984375" bestFit="1" customWidth="1"/>
    <col min="206" max="206" width="11.59765625" bestFit="1" customWidth="1"/>
    <col min="207" max="207" width="6.265625" bestFit="1" customWidth="1"/>
    <col min="208" max="208" width="6" bestFit="1" customWidth="1"/>
    <col min="209" max="209" width="7.73046875" bestFit="1" customWidth="1"/>
    <col min="210" max="210" width="6.3984375" bestFit="1" customWidth="1"/>
    <col min="211" max="211" width="6.73046875" bestFit="1" customWidth="1"/>
    <col min="212" max="212" width="5.86328125" bestFit="1" customWidth="1"/>
    <col min="213" max="213" width="7.1328125" bestFit="1" customWidth="1"/>
    <col min="214" max="214" width="10.86328125" bestFit="1" customWidth="1"/>
    <col min="218" max="218" width="14.86328125" bestFit="1" customWidth="1"/>
    <col min="219" max="219" width="9.59765625" customWidth="1"/>
    <col min="220" max="220" width="7.73046875" customWidth="1"/>
    <col min="221" max="221" width="4.73046875" customWidth="1"/>
    <col min="222" max="222" width="5.1328125" customWidth="1"/>
    <col min="223" max="223" width="7.265625" customWidth="1"/>
    <col min="224" max="224" width="6.73046875" customWidth="1"/>
    <col min="225" max="225" width="6.265625" bestFit="1" customWidth="1"/>
    <col min="226" max="226" width="7.265625" customWidth="1"/>
    <col min="227" max="227" width="5.265625" customWidth="1"/>
    <col min="228" max="228" width="4.59765625" customWidth="1"/>
    <col min="229" max="229" width="4.1328125" customWidth="1"/>
    <col min="230" max="230" width="9.265625" customWidth="1"/>
    <col min="231" max="231" width="12.86328125" customWidth="1"/>
    <col min="232" max="232" width="7.1328125" customWidth="1"/>
    <col min="233" max="233" width="6.86328125" customWidth="1"/>
    <col min="234" max="234" width="8.59765625" customWidth="1"/>
    <col min="235" max="235" width="7.3984375" customWidth="1"/>
    <col min="236" max="236" width="6.265625" customWidth="1"/>
    <col min="237" max="237" width="7.86328125" customWidth="1"/>
    <col min="238" max="238" width="12" customWidth="1"/>
    <col min="239" max="239" width="5.59765625" customWidth="1"/>
    <col min="240" max="241" width="10.59765625" customWidth="1"/>
    <col min="242" max="242" width="14.265625" bestFit="1" customWidth="1"/>
    <col min="243" max="243" width="9.59765625" bestFit="1" customWidth="1"/>
    <col min="244" max="244" width="7.73046875" bestFit="1" customWidth="1"/>
    <col min="245" max="245" width="4.73046875" bestFit="1" customWidth="1"/>
    <col min="246" max="246" width="5.1328125" bestFit="1" customWidth="1"/>
    <col min="247" max="247" width="7.265625" bestFit="1" customWidth="1"/>
    <col min="248" max="248" width="6.73046875" bestFit="1" customWidth="1"/>
    <col min="249" max="249" width="7.265625" bestFit="1" customWidth="1"/>
    <col min="250" max="250" width="5.265625" bestFit="1" customWidth="1"/>
    <col min="251" max="251" width="4.59765625" bestFit="1" customWidth="1"/>
    <col min="252" max="252" width="4.1328125" bestFit="1" customWidth="1"/>
    <col min="253" max="253" width="9.265625" bestFit="1" customWidth="1"/>
    <col min="254" max="254" width="12.86328125" bestFit="1" customWidth="1"/>
    <col min="255" max="255" width="7.1328125" bestFit="1" customWidth="1"/>
    <col min="256" max="256" width="6.86328125" bestFit="1" customWidth="1"/>
    <col min="257" max="257" width="8.59765625" bestFit="1" customWidth="1"/>
    <col min="258" max="258" width="7" bestFit="1" customWidth="1"/>
    <col min="259" max="259" width="7.265625" bestFit="1" customWidth="1"/>
    <col min="260" max="260" width="7.3984375" bestFit="1" customWidth="1"/>
    <col min="261" max="261" width="12" bestFit="1" customWidth="1"/>
    <col min="262" max="262" width="5" bestFit="1" customWidth="1"/>
    <col min="263" max="263" width="6.265625" bestFit="1" customWidth="1"/>
    <col min="264" max="264" width="5.59765625" bestFit="1" customWidth="1"/>
  </cols>
  <sheetData>
    <row r="1" spans="1:264" ht="14.25" x14ac:dyDescent="0.45">
      <c r="B1" t="s">
        <v>0</v>
      </c>
    </row>
    <row r="3" spans="1:264" ht="14.25" x14ac:dyDescent="0.45">
      <c r="B3" t="s">
        <v>1</v>
      </c>
      <c r="T3" t="s">
        <v>2</v>
      </c>
      <c r="AM3" t="s">
        <v>3</v>
      </c>
      <c r="BH3" t="s">
        <v>4</v>
      </c>
      <c r="CG3" t="s">
        <v>5</v>
      </c>
      <c r="DG3" t="s">
        <v>6</v>
      </c>
      <c r="ED3" t="s">
        <v>7</v>
      </c>
      <c r="FG3" t="s">
        <v>8</v>
      </c>
      <c r="GI3" t="s">
        <v>9</v>
      </c>
      <c r="HJ3" t="s">
        <v>10</v>
      </c>
      <c r="IH3" t="s">
        <v>11</v>
      </c>
    </row>
    <row r="4" spans="1:264" ht="14.25" customHeight="1" x14ac:dyDescent="0.45">
      <c r="B4" t="s">
        <v>12</v>
      </c>
      <c r="E4" s="6" t="s">
        <v>13</v>
      </c>
      <c r="F4" s="6"/>
      <c r="G4" s="6"/>
      <c r="H4" s="6"/>
      <c r="T4" t="s">
        <v>12</v>
      </c>
      <c r="V4" s="6" t="s">
        <v>14</v>
      </c>
      <c r="W4" s="6"/>
      <c r="AM4" t="s">
        <v>12</v>
      </c>
      <c r="AO4" s="6" t="s">
        <v>14</v>
      </c>
      <c r="AP4" s="6"/>
      <c r="BL4" s="6" t="s">
        <v>14</v>
      </c>
      <c r="BM4" s="6"/>
      <c r="BN4" s="5"/>
      <c r="BO4" s="5"/>
      <c r="CL4" s="6" t="s">
        <v>13</v>
      </c>
      <c r="CM4" s="6"/>
      <c r="CN4" s="6"/>
      <c r="DJ4" s="6" t="s">
        <v>14</v>
      </c>
      <c r="DK4" s="6"/>
      <c r="EG4" s="6" t="s">
        <v>14</v>
      </c>
      <c r="EH4" s="6"/>
      <c r="FI4" s="6" t="s">
        <v>14</v>
      </c>
      <c r="FJ4" s="6"/>
      <c r="HL4" s="6" t="s">
        <v>14</v>
      </c>
      <c r="HM4" s="6"/>
      <c r="IJ4" s="6" t="s">
        <v>14</v>
      </c>
      <c r="IK4" s="6"/>
    </row>
    <row r="5" spans="1:264" ht="14.25" x14ac:dyDescent="0.45"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U5" t="s">
        <v>17</v>
      </c>
      <c r="V5" t="s">
        <v>18</v>
      </c>
      <c r="W5" t="s">
        <v>19</v>
      </c>
      <c r="X5" t="s">
        <v>20</v>
      </c>
      <c r="Y5" t="s">
        <v>21</v>
      </c>
      <c r="Z5" t="s">
        <v>22</v>
      </c>
      <c r="AA5" t="s">
        <v>23</v>
      </c>
      <c r="AB5" t="s">
        <v>25</v>
      </c>
      <c r="AC5" t="s">
        <v>24</v>
      </c>
      <c r="AD5" t="s">
        <v>31</v>
      </c>
      <c r="AE5" t="s">
        <v>26</v>
      </c>
      <c r="AF5" t="s">
        <v>27</v>
      </c>
      <c r="AG5" t="s">
        <v>28</v>
      </c>
      <c r="AH5" t="s">
        <v>29</v>
      </c>
      <c r="AI5" t="s">
        <v>41</v>
      </c>
      <c r="AJ5" t="s">
        <v>30</v>
      </c>
      <c r="AL5" t="s">
        <v>32</v>
      </c>
      <c r="AN5" t="s">
        <v>17</v>
      </c>
      <c r="AO5" t="s">
        <v>18</v>
      </c>
      <c r="AP5" t="s">
        <v>19</v>
      </c>
      <c r="AQ5" t="s">
        <v>20</v>
      </c>
      <c r="AR5" t="s">
        <v>21</v>
      </c>
      <c r="AS5" t="s">
        <v>22</v>
      </c>
      <c r="AT5" t="s">
        <v>23</v>
      </c>
      <c r="AU5" t="s">
        <v>33</v>
      </c>
      <c r="AV5" t="s">
        <v>25</v>
      </c>
      <c r="AW5" t="s">
        <v>24</v>
      </c>
      <c r="AX5" t="s">
        <v>31</v>
      </c>
      <c r="AY5" t="s">
        <v>26</v>
      </c>
      <c r="AZ5" t="s">
        <v>27</v>
      </c>
      <c r="BA5" t="s">
        <v>28</v>
      </c>
      <c r="BB5" t="s">
        <v>34</v>
      </c>
      <c r="BC5" t="s">
        <v>29</v>
      </c>
      <c r="BD5" t="s">
        <v>30</v>
      </c>
      <c r="BH5" t="s">
        <v>12</v>
      </c>
      <c r="BI5" t="s">
        <v>16</v>
      </c>
      <c r="BJ5" t="s">
        <v>17</v>
      </c>
      <c r="BK5" t="s">
        <v>18</v>
      </c>
      <c r="BL5" t="s">
        <v>19</v>
      </c>
      <c r="BM5" t="s">
        <v>20</v>
      </c>
      <c r="BN5" t="s">
        <v>39</v>
      </c>
      <c r="BO5" t="s">
        <v>40</v>
      </c>
      <c r="BP5" t="s">
        <v>21</v>
      </c>
      <c r="BQ5" t="s">
        <v>22</v>
      </c>
      <c r="BR5" t="s">
        <v>23</v>
      </c>
      <c r="BS5" t="s">
        <v>35</v>
      </c>
      <c r="BT5" t="s">
        <v>137</v>
      </c>
      <c r="BU5" t="s">
        <v>25</v>
      </c>
      <c r="BV5" t="s">
        <v>24</v>
      </c>
      <c r="BW5" t="s">
        <v>31</v>
      </c>
      <c r="BX5" t="s">
        <v>26</v>
      </c>
      <c r="BY5" t="s">
        <v>27</v>
      </c>
      <c r="BZ5" t="s">
        <v>28</v>
      </c>
      <c r="CA5" t="s">
        <v>34</v>
      </c>
      <c r="CB5" t="s">
        <v>29</v>
      </c>
      <c r="CC5" t="s">
        <v>42</v>
      </c>
      <c r="CD5" t="s">
        <v>36</v>
      </c>
      <c r="CG5" t="s">
        <v>12</v>
      </c>
      <c r="CH5" t="s">
        <v>41</v>
      </c>
      <c r="CI5" t="s">
        <v>38</v>
      </c>
      <c r="CJ5" t="s">
        <v>17</v>
      </c>
      <c r="CK5" t="s">
        <v>18</v>
      </c>
      <c r="CL5" t="s">
        <v>19</v>
      </c>
      <c r="CM5" t="s">
        <v>37</v>
      </c>
      <c r="CN5" t="s">
        <v>20</v>
      </c>
      <c r="CO5" t="s">
        <v>21</v>
      </c>
      <c r="CP5" t="s">
        <v>22</v>
      </c>
      <c r="CQ5" t="s">
        <v>23</v>
      </c>
      <c r="CR5" t="s">
        <v>35</v>
      </c>
      <c r="CS5" t="s">
        <v>33</v>
      </c>
      <c r="CT5" t="s">
        <v>25</v>
      </c>
      <c r="CU5" t="s">
        <v>24</v>
      </c>
      <c r="CV5" t="s">
        <v>31</v>
      </c>
      <c r="CW5" t="s">
        <v>26</v>
      </c>
      <c r="CX5" t="s">
        <v>27</v>
      </c>
      <c r="CY5" t="s">
        <v>28</v>
      </c>
      <c r="CZ5" t="s">
        <v>29</v>
      </c>
      <c r="DA5" t="s">
        <v>43</v>
      </c>
      <c r="DB5" t="s">
        <v>30</v>
      </c>
      <c r="DG5" t="s">
        <v>12</v>
      </c>
      <c r="DH5" t="s">
        <v>38</v>
      </c>
      <c r="DI5" t="s">
        <v>17</v>
      </c>
      <c r="DJ5" t="s">
        <v>18</v>
      </c>
      <c r="DK5" t="s">
        <v>19</v>
      </c>
      <c r="DL5" t="s">
        <v>37</v>
      </c>
      <c r="DM5" t="s">
        <v>20</v>
      </c>
      <c r="DN5" t="s">
        <v>21</v>
      </c>
      <c r="DO5" t="s">
        <v>22</v>
      </c>
      <c r="DP5" t="s">
        <v>23</v>
      </c>
      <c r="DQ5" t="s">
        <v>35</v>
      </c>
      <c r="DR5" t="s">
        <v>33</v>
      </c>
      <c r="DS5" t="s">
        <v>25</v>
      </c>
      <c r="DT5" t="s">
        <v>24</v>
      </c>
      <c r="DU5" t="s">
        <v>31</v>
      </c>
      <c r="DV5" t="s">
        <v>26</v>
      </c>
      <c r="DW5" t="s">
        <v>27</v>
      </c>
      <c r="DX5" t="s">
        <v>28</v>
      </c>
      <c r="DY5" t="s">
        <v>34</v>
      </c>
      <c r="DZ5" t="s">
        <v>29</v>
      </c>
      <c r="EA5" t="s">
        <v>30</v>
      </c>
      <c r="ED5" t="s">
        <v>12</v>
      </c>
      <c r="EE5" t="s">
        <v>41</v>
      </c>
      <c r="EF5" t="s">
        <v>38</v>
      </c>
      <c r="EG5" t="s">
        <v>17</v>
      </c>
      <c r="EH5" t="s">
        <v>18</v>
      </c>
      <c r="EI5" t="s">
        <v>19</v>
      </c>
      <c r="EJ5" t="s">
        <v>37</v>
      </c>
      <c r="EK5" t="s">
        <v>20</v>
      </c>
      <c r="EL5" t="s">
        <v>39</v>
      </c>
      <c r="EM5" t="s">
        <v>40</v>
      </c>
      <c r="EN5" t="s">
        <v>21</v>
      </c>
      <c r="EO5" t="s">
        <v>22</v>
      </c>
      <c r="EP5" t="s">
        <v>23</v>
      </c>
      <c r="EQ5" t="s">
        <v>35</v>
      </c>
      <c r="ER5" t="s">
        <v>33</v>
      </c>
      <c r="ES5" t="s">
        <v>25</v>
      </c>
      <c r="ET5" t="s">
        <v>24</v>
      </c>
      <c r="EU5" t="s">
        <v>31</v>
      </c>
      <c r="EV5" t="s">
        <v>26</v>
      </c>
      <c r="EW5" t="s">
        <v>138</v>
      </c>
      <c r="EX5" t="s">
        <v>43</v>
      </c>
      <c r="EY5" t="s">
        <v>27</v>
      </c>
      <c r="EZ5" t="s">
        <v>28</v>
      </c>
      <c r="FA5" t="s">
        <v>34</v>
      </c>
      <c r="FB5" t="s">
        <v>29</v>
      </c>
      <c r="FC5" t="s">
        <v>42</v>
      </c>
      <c r="FD5" t="s">
        <v>30</v>
      </c>
      <c r="FG5" t="s">
        <v>12</v>
      </c>
      <c r="FH5" t="s">
        <v>41</v>
      </c>
      <c r="FI5" t="s">
        <v>38</v>
      </c>
      <c r="FJ5" t="s">
        <v>17</v>
      </c>
      <c r="FK5" t="s">
        <v>18</v>
      </c>
      <c r="FL5" t="s">
        <v>19</v>
      </c>
      <c r="FM5" t="s">
        <v>37</v>
      </c>
      <c r="FN5" t="s">
        <v>20</v>
      </c>
      <c r="FO5" t="s">
        <v>39</v>
      </c>
      <c r="FP5" t="s">
        <v>40</v>
      </c>
      <c r="FQ5" t="s">
        <v>21</v>
      </c>
      <c r="FR5" t="s">
        <v>22</v>
      </c>
      <c r="FS5" t="s">
        <v>23</v>
      </c>
      <c r="FT5" t="s">
        <v>35</v>
      </c>
      <c r="FU5" t="s">
        <v>33</v>
      </c>
      <c r="FV5" t="s">
        <v>25</v>
      </c>
      <c r="FW5" t="s">
        <v>24</v>
      </c>
      <c r="FX5" t="s">
        <v>31</v>
      </c>
      <c r="FY5" t="s">
        <v>26</v>
      </c>
      <c r="FZ5" t="s">
        <v>43</v>
      </c>
      <c r="GA5" t="s">
        <v>27</v>
      </c>
      <c r="GB5" t="s">
        <v>28</v>
      </c>
      <c r="GC5" t="s">
        <v>34</v>
      </c>
      <c r="GD5" t="s">
        <v>29</v>
      </c>
      <c r="GE5" t="s">
        <v>42</v>
      </c>
      <c r="GF5" t="s">
        <v>30</v>
      </c>
      <c r="GI5" t="s">
        <v>12</v>
      </c>
      <c r="GJ5" t="s">
        <v>41</v>
      </c>
      <c r="GK5" t="s">
        <v>38</v>
      </c>
      <c r="GL5" t="s">
        <v>17</v>
      </c>
      <c r="GM5" t="s">
        <v>18</v>
      </c>
      <c r="GN5" t="s">
        <v>19</v>
      </c>
      <c r="GO5" t="s">
        <v>37</v>
      </c>
      <c r="GP5" t="s">
        <v>20</v>
      </c>
      <c r="GQ5" t="s">
        <v>39</v>
      </c>
      <c r="GR5" t="s">
        <v>40</v>
      </c>
      <c r="GS5" t="s">
        <v>21</v>
      </c>
      <c r="GT5" t="s">
        <v>22</v>
      </c>
      <c r="GU5" t="s">
        <v>23</v>
      </c>
      <c r="GV5" t="s">
        <v>35</v>
      </c>
      <c r="GW5" t="s">
        <v>33</v>
      </c>
      <c r="GX5" t="s">
        <v>25</v>
      </c>
      <c r="GY5" t="s">
        <v>24</v>
      </c>
      <c r="GZ5" t="s">
        <v>31</v>
      </c>
      <c r="HA5" t="s">
        <v>26</v>
      </c>
      <c r="HB5" t="s">
        <v>43</v>
      </c>
      <c r="HC5" t="s">
        <v>27</v>
      </c>
      <c r="HD5" t="s">
        <v>28</v>
      </c>
      <c r="HE5" t="s">
        <v>34</v>
      </c>
      <c r="HF5" t="s">
        <v>29</v>
      </c>
      <c r="HG5" t="s">
        <v>30</v>
      </c>
      <c r="HJ5" t="s">
        <v>15</v>
      </c>
      <c r="HK5" t="s">
        <v>41</v>
      </c>
      <c r="HL5" t="s">
        <v>38</v>
      </c>
      <c r="HM5" t="s">
        <v>17</v>
      </c>
      <c r="HN5" t="s">
        <v>18</v>
      </c>
      <c r="HO5" t="s">
        <v>19</v>
      </c>
      <c r="HP5" t="s">
        <v>20</v>
      </c>
      <c r="HQ5" t="s">
        <v>39</v>
      </c>
      <c r="HR5" t="s">
        <v>21</v>
      </c>
      <c r="HS5" t="s">
        <v>22</v>
      </c>
      <c r="HT5" t="s">
        <v>23</v>
      </c>
      <c r="HU5" t="s">
        <v>35</v>
      </c>
      <c r="HV5" t="s">
        <v>33</v>
      </c>
      <c r="HW5" t="s">
        <v>25</v>
      </c>
      <c r="HX5" t="s">
        <v>24</v>
      </c>
      <c r="HY5" t="s">
        <v>31</v>
      </c>
      <c r="HZ5" t="s">
        <v>26</v>
      </c>
      <c r="IA5" t="s">
        <v>27</v>
      </c>
      <c r="IB5" t="s">
        <v>28</v>
      </c>
      <c r="IC5" t="s">
        <v>34</v>
      </c>
      <c r="ID5" t="s">
        <v>29</v>
      </c>
      <c r="IE5" t="s">
        <v>30</v>
      </c>
      <c r="IH5" t="s">
        <v>12</v>
      </c>
      <c r="II5" t="s">
        <v>41</v>
      </c>
      <c r="IJ5" t="s">
        <v>38</v>
      </c>
      <c r="IK5" t="s">
        <v>17</v>
      </c>
      <c r="IL5" t="s">
        <v>18</v>
      </c>
      <c r="IM5" t="s">
        <v>19</v>
      </c>
      <c r="IN5" t="s">
        <v>20</v>
      </c>
      <c r="IO5" t="s">
        <v>21</v>
      </c>
      <c r="IP5" t="s">
        <v>22</v>
      </c>
      <c r="IQ5" t="s">
        <v>23</v>
      </c>
      <c r="IR5" t="s">
        <v>35</v>
      </c>
      <c r="IS5" t="s">
        <v>33</v>
      </c>
      <c r="IT5" t="s">
        <v>25</v>
      </c>
      <c r="IU5" t="s">
        <v>24</v>
      </c>
      <c r="IV5" t="s">
        <v>31</v>
      </c>
      <c r="IW5" t="s">
        <v>26</v>
      </c>
      <c r="IX5" t="s">
        <v>138</v>
      </c>
      <c r="IY5" t="s">
        <v>43</v>
      </c>
      <c r="IZ5" t="s">
        <v>27</v>
      </c>
      <c r="JA5" t="s">
        <v>29</v>
      </c>
      <c r="JB5" t="s">
        <v>40</v>
      </c>
      <c r="JC5" t="s">
        <v>28</v>
      </c>
      <c r="JD5" t="s">
        <v>30</v>
      </c>
    </row>
    <row r="6" spans="1:264" ht="14.25" x14ac:dyDescent="0.45">
      <c r="A6" s="6" t="s">
        <v>32</v>
      </c>
      <c r="B6" t="s">
        <v>16</v>
      </c>
      <c r="Q6">
        <f t="shared" ref="Q6:Q19" si="0">SUM(C6:P6)</f>
        <v>0</v>
      </c>
      <c r="S6" t="s">
        <v>32</v>
      </c>
      <c r="T6" t="s">
        <v>17</v>
      </c>
      <c r="AJ6">
        <f>SUM(U6:AI6)</f>
        <v>0</v>
      </c>
      <c r="AM6" t="s">
        <v>17</v>
      </c>
      <c r="BD6">
        <f>SUM(AN6:BC6)</f>
        <v>0</v>
      </c>
      <c r="BG6" t="s">
        <v>32</v>
      </c>
      <c r="BH6" t="s">
        <v>16</v>
      </c>
      <c r="CD6">
        <f>SUM(BI6:CC6)</f>
        <v>0</v>
      </c>
      <c r="CF6" t="s">
        <v>32</v>
      </c>
      <c r="CG6" t="s">
        <v>41</v>
      </c>
      <c r="CP6">
        <v>1</v>
      </c>
      <c r="CT6">
        <v>3</v>
      </c>
      <c r="CW6">
        <v>3</v>
      </c>
      <c r="CZ6">
        <v>1</v>
      </c>
      <c r="DB6">
        <f>SUM(CJ6:DA6)</f>
        <v>8</v>
      </c>
      <c r="DF6" t="s">
        <v>32</v>
      </c>
      <c r="DG6" t="s">
        <v>38</v>
      </c>
      <c r="EA6">
        <f>SUM(DH6:DZ6)</f>
        <v>0</v>
      </c>
      <c r="EC6" t="s">
        <v>32</v>
      </c>
      <c r="ED6" t="s">
        <v>41</v>
      </c>
      <c r="EF6">
        <v>1</v>
      </c>
      <c r="ES6">
        <v>7</v>
      </c>
      <c r="EY6">
        <v>1</v>
      </c>
      <c r="FB6">
        <v>2</v>
      </c>
      <c r="FD6">
        <f>SUM(EE6:FC6)</f>
        <v>11</v>
      </c>
      <c r="FF6" t="s">
        <v>32</v>
      </c>
      <c r="FG6" t="s">
        <v>41</v>
      </c>
      <c r="GF6">
        <f t="shared" ref="GF6:GF29" si="1">SUM(FH6:GE6)</f>
        <v>0</v>
      </c>
      <c r="GI6" t="s">
        <v>41</v>
      </c>
      <c r="GS6">
        <v>2</v>
      </c>
      <c r="GX6">
        <v>1</v>
      </c>
      <c r="HF6">
        <v>2</v>
      </c>
      <c r="HG6">
        <f>SUM(GJ6:HF6)</f>
        <v>5</v>
      </c>
      <c r="HI6" t="s">
        <v>32</v>
      </c>
      <c r="HJ6" t="s">
        <v>41</v>
      </c>
      <c r="HS6">
        <v>1</v>
      </c>
      <c r="HW6">
        <v>5</v>
      </c>
      <c r="HY6">
        <v>1</v>
      </c>
      <c r="HZ6">
        <v>3</v>
      </c>
      <c r="IE6">
        <f>SUM(HK6:ID6)</f>
        <v>10</v>
      </c>
      <c r="IG6" t="s">
        <v>32</v>
      </c>
      <c r="IH6" t="s">
        <v>41</v>
      </c>
      <c r="IP6">
        <v>1</v>
      </c>
      <c r="IT6">
        <v>6</v>
      </c>
      <c r="IW6">
        <v>2</v>
      </c>
      <c r="JD6">
        <f>SUM(II6:JC6)</f>
        <v>9</v>
      </c>
    </row>
    <row r="7" spans="1:264" ht="14.25" x14ac:dyDescent="0.45">
      <c r="A7" s="6"/>
      <c r="B7" t="s">
        <v>17</v>
      </c>
      <c r="Q7">
        <f t="shared" si="0"/>
        <v>0</v>
      </c>
      <c r="T7" t="s">
        <v>18</v>
      </c>
      <c r="AJ7">
        <f t="shared" ref="AJ7:AJ20" si="2">SUM(U7:AI7)</f>
        <v>0</v>
      </c>
      <c r="AM7" t="s">
        <v>18</v>
      </c>
      <c r="BD7">
        <f t="shared" ref="BD7:BD21" si="3">SUM(AN7:BC7)</f>
        <v>0</v>
      </c>
      <c r="BH7" t="s">
        <v>17</v>
      </c>
      <c r="BJ7">
        <v>1</v>
      </c>
      <c r="CD7">
        <f t="shared" ref="CD7:CD26" si="4">SUM(BI7:CC7)</f>
        <v>1</v>
      </c>
      <c r="CG7" t="s">
        <v>16</v>
      </c>
      <c r="DB7">
        <f t="shared" ref="DB7:DB23" si="5">SUM(CJ7:DA7)</f>
        <v>0</v>
      </c>
      <c r="DG7" t="s">
        <v>17</v>
      </c>
      <c r="EA7">
        <f>SUM(DH7:DZ7)</f>
        <v>0</v>
      </c>
      <c r="ED7" t="s">
        <v>38</v>
      </c>
      <c r="FD7">
        <f t="shared" ref="FD7:FD29" si="6">SUM(EE7:FC7)</f>
        <v>0</v>
      </c>
      <c r="FG7" t="s">
        <v>38</v>
      </c>
      <c r="GF7">
        <f t="shared" si="1"/>
        <v>0</v>
      </c>
      <c r="GI7" t="s">
        <v>38</v>
      </c>
      <c r="HG7">
        <f t="shared" ref="HG7:HG28" si="7">SUM(GJ7:HF7)</f>
        <v>0</v>
      </c>
      <c r="HJ7" t="s">
        <v>38</v>
      </c>
      <c r="IE7">
        <f t="shared" ref="IE7:IE25" si="8">SUM(HK7:ID7)</f>
        <v>0</v>
      </c>
      <c r="IH7" t="s">
        <v>38</v>
      </c>
      <c r="JD7">
        <f t="shared" ref="JD7:JD26" si="9">SUM(II7:JC7)</f>
        <v>0</v>
      </c>
    </row>
    <row r="8" spans="1:264" ht="14.25" x14ac:dyDescent="0.45">
      <c r="B8" t="s">
        <v>18</v>
      </c>
      <c r="Q8">
        <f t="shared" si="0"/>
        <v>0</v>
      </c>
      <c r="T8" t="s">
        <v>19</v>
      </c>
      <c r="AJ8">
        <f t="shared" si="2"/>
        <v>0</v>
      </c>
      <c r="AM8" t="s">
        <v>19</v>
      </c>
      <c r="BD8">
        <f t="shared" si="3"/>
        <v>0</v>
      </c>
      <c r="BH8" t="s">
        <v>18</v>
      </c>
      <c r="CD8">
        <f t="shared" si="4"/>
        <v>0</v>
      </c>
      <c r="CG8" t="s">
        <v>17</v>
      </c>
      <c r="CJ8">
        <v>4</v>
      </c>
      <c r="DB8">
        <f t="shared" si="5"/>
        <v>4</v>
      </c>
      <c r="DG8" t="s">
        <v>18</v>
      </c>
      <c r="EA8">
        <f t="shared" ref="EA8:EA24" si="10">SUM(DH8:DZ8)</f>
        <v>0</v>
      </c>
      <c r="ED8" t="s">
        <v>17</v>
      </c>
      <c r="EG8">
        <v>8</v>
      </c>
      <c r="EK8">
        <v>1</v>
      </c>
      <c r="FD8">
        <f t="shared" si="6"/>
        <v>9</v>
      </c>
      <c r="FG8" t="s">
        <v>17</v>
      </c>
      <c r="FJ8">
        <v>6</v>
      </c>
      <c r="GD8">
        <v>1</v>
      </c>
      <c r="GF8">
        <f t="shared" si="1"/>
        <v>7</v>
      </c>
      <c r="GI8" t="s">
        <v>17</v>
      </c>
      <c r="HG8">
        <f t="shared" si="7"/>
        <v>0</v>
      </c>
      <c r="HJ8" t="s">
        <v>17</v>
      </c>
      <c r="HM8">
        <v>1</v>
      </c>
      <c r="IE8">
        <f t="shared" si="8"/>
        <v>1</v>
      </c>
      <c r="IH8" t="s">
        <v>17</v>
      </c>
      <c r="IK8">
        <v>1</v>
      </c>
      <c r="JD8">
        <f t="shared" si="9"/>
        <v>1</v>
      </c>
    </row>
    <row r="9" spans="1:264" ht="14.25" x14ac:dyDescent="0.45">
      <c r="B9" t="s">
        <v>19</v>
      </c>
      <c r="Q9">
        <f t="shared" si="0"/>
        <v>0</v>
      </c>
      <c r="T9" t="s">
        <v>20</v>
      </c>
      <c r="AJ9">
        <f t="shared" si="2"/>
        <v>0</v>
      </c>
      <c r="AM9" t="s">
        <v>20</v>
      </c>
      <c r="BD9">
        <f t="shared" si="3"/>
        <v>0</v>
      </c>
      <c r="BH9" t="s">
        <v>19</v>
      </c>
      <c r="CD9">
        <f t="shared" si="4"/>
        <v>0</v>
      </c>
      <c r="CG9" t="s">
        <v>18</v>
      </c>
      <c r="CS9">
        <v>1</v>
      </c>
      <c r="DB9">
        <f t="shared" si="5"/>
        <v>1</v>
      </c>
      <c r="DG9" t="s">
        <v>19</v>
      </c>
      <c r="EA9">
        <f t="shared" si="10"/>
        <v>0</v>
      </c>
      <c r="ED9" t="s">
        <v>18</v>
      </c>
      <c r="EH9">
        <v>25</v>
      </c>
      <c r="EO9">
        <v>1</v>
      </c>
      <c r="EU9">
        <v>5</v>
      </c>
      <c r="EZ9">
        <v>1</v>
      </c>
      <c r="FB9">
        <v>5</v>
      </c>
      <c r="FD9">
        <f t="shared" si="6"/>
        <v>37</v>
      </c>
      <c r="FG9" t="s">
        <v>18</v>
      </c>
      <c r="FK9">
        <v>3</v>
      </c>
      <c r="FQ9">
        <v>4</v>
      </c>
      <c r="FR9">
        <v>2</v>
      </c>
      <c r="GF9">
        <f t="shared" si="1"/>
        <v>9</v>
      </c>
      <c r="GI9" t="s">
        <v>18</v>
      </c>
      <c r="GM9">
        <v>36</v>
      </c>
      <c r="GS9">
        <v>1</v>
      </c>
      <c r="GT9">
        <v>6</v>
      </c>
      <c r="GU9">
        <v>2</v>
      </c>
      <c r="GX9">
        <v>6</v>
      </c>
      <c r="GZ9">
        <v>1</v>
      </c>
      <c r="HF9">
        <v>2</v>
      </c>
      <c r="HG9">
        <f t="shared" si="7"/>
        <v>54</v>
      </c>
      <c r="HJ9" t="s">
        <v>18</v>
      </c>
      <c r="HN9">
        <v>16</v>
      </c>
      <c r="HR9">
        <v>4</v>
      </c>
      <c r="HS9">
        <v>17</v>
      </c>
      <c r="HW9">
        <v>2</v>
      </c>
      <c r="HY9">
        <v>1</v>
      </c>
      <c r="HZ9">
        <v>5</v>
      </c>
      <c r="IB9">
        <v>1</v>
      </c>
      <c r="ID9">
        <v>11</v>
      </c>
      <c r="IE9">
        <f t="shared" si="8"/>
        <v>57</v>
      </c>
      <c r="IH9" t="s">
        <v>18</v>
      </c>
      <c r="IL9">
        <v>23</v>
      </c>
      <c r="IM9">
        <v>1</v>
      </c>
      <c r="IO9">
        <v>3</v>
      </c>
      <c r="IP9">
        <v>7</v>
      </c>
      <c r="IT9">
        <v>1</v>
      </c>
      <c r="IV9">
        <v>1</v>
      </c>
      <c r="IW9">
        <v>1</v>
      </c>
      <c r="JA9">
        <v>3</v>
      </c>
      <c r="JB9">
        <v>1</v>
      </c>
      <c r="JC9">
        <v>1</v>
      </c>
      <c r="JD9">
        <f t="shared" si="9"/>
        <v>42</v>
      </c>
    </row>
    <row r="10" spans="1:264" ht="14.25" x14ac:dyDescent="0.45">
      <c r="B10" t="s">
        <v>20</v>
      </c>
      <c r="Q10">
        <f t="shared" si="0"/>
        <v>0</v>
      </c>
      <c r="T10" t="s">
        <v>21</v>
      </c>
      <c r="AJ10">
        <f t="shared" si="2"/>
        <v>0</v>
      </c>
      <c r="AM10" t="s">
        <v>21</v>
      </c>
      <c r="BD10">
        <f t="shared" si="3"/>
        <v>0</v>
      </c>
      <c r="BH10" t="s">
        <v>20</v>
      </c>
      <c r="CD10">
        <f t="shared" si="4"/>
        <v>0</v>
      </c>
      <c r="CG10" t="s">
        <v>19</v>
      </c>
      <c r="CL10">
        <v>4</v>
      </c>
      <c r="DB10">
        <f t="shared" si="5"/>
        <v>4</v>
      </c>
      <c r="DG10" t="s">
        <v>37</v>
      </c>
      <c r="EA10">
        <f t="shared" si="10"/>
        <v>0</v>
      </c>
      <c r="ED10" t="s">
        <v>19</v>
      </c>
      <c r="EI10">
        <v>13</v>
      </c>
      <c r="FD10">
        <f t="shared" si="6"/>
        <v>13</v>
      </c>
      <c r="FG10" t="s">
        <v>19</v>
      </c>
      <c r="FL10">
        <v>1</v>
      </c>
      <c r="GF10">
        <f t="shared" si="1"/>
        <v>1</v>
      </c>
      <c r="GI10" t="s">
        <v>19</v>
      </c>
      <c r="GN10">
        <v>6</v>
      </c>
      <c r="HG10">
        <f t="shared" si="7"/>
        <v>6</v>
      </c>
      <c r="HJ10" t="s">
        <v>19</v>
      </c>
      <c r="HO10">
        <v>4</v>
      </c>
      <c r="IE10">
        <f t="shared" si="8"/>
        <v>4</v>
      </c>
      <c r="IH10" t="s">
        <v>19</v>
      </c>
      <c r="JD10">
        <f t="shared" si="9"/>
        <v>0</v>
      </c>
    </row>
    <row r="11" spans="1:264" ht="14.25" x14ac:dyDescent="0.45">
      <c r="B11" t="s">
        <v>21</v>
      </c>
      <c r="Q11">
        <f t="shared" si="0"/>
        <v>0</v>
      </c>
      <c r="T11" t="s">
        <v>22</v>
      </c>
      <c r="AJ11">
        <f t="shared" si="2"/>
        <v>0</v>
      </c>
      <c r="AM11" t="s">
        <v>22</v>
      </c>
      <c r="BD11">
        <f t="shared" si="3"/>
        <v>0</v>
      </c>
      <c r="BH11" t="s">
        <v>39</v>
      </c>
      <c r="CD11">
        <f t="shared" si="4"/>
        <v>0</v>
      </c>
      <c r="CG11" t="s">
        <v>37</v>
      </c>
      <c r="DB11">
        <f t="shared" si="5"/>
        <v>0</v>
      </c>
      <c r="DG11" t="s">
        <v>20</v>
      </c>
      <c r="DM11">
        <v>6</v>
      </c>
      <c r="EA11">
        <f t="shared" si="10"/>
        <v>6</v>
      </c>
      <c r="ED11" t="s">
        <v>37</v>
      </c>
      <c r="FD11">
        <f t="shared" si="6"/>
        <v>0</v>
      </c>
      <c r="FG11" t="s">
        <v>37</v>
      </c>
      <c r="GF11">
        <f t="shared" si="1"/>
        <v>0</v>
      </c>
      <c r="GI11" t="s">
        <v>37</v>
      </c>
      <c r="HG11">
        <f t="shared" si="7"/>
        <v>0</v>
      </c>
      <c r="HJ11" t="s">
        <v>20</v>
      </c>
      <c r="IE11">
        <f t="shared" si="8"/>
        <v>0</v>
      </c>
      <c r="IH11" t="s">
        <v>20</v>
      </c>
      <c r="JD11">
        <f t="shared" si="9"/>
        <v>0</v>
      </c>
    </row>
    <row r="12" spans="1:264" ht="14.25" x14ac:dyDescent="0.45">
      <c r="B12" t="s">
        <v>22</v>
      </c>
      <c r="Q12">
        <f t="shared" si="0"/>
        <v>0</v>
      </c>
      <c r="T12" t="s">
        <v>23</v>
      </c>
      <c r="AJ12">
        <f t="shared" si="2"/>
        <v>0</v>
      </c>
      <c r="AM12" t="s">
        <v>23</v>
      </c>
      <c r="BD12">
        <f t="shared" si="3"/>
        <v>0</v>
      </c>
      <c r="BH12" t="s">
        <v>40</v>
      </c>
      <c r="CD12">
        <f t="shared" si="4"/>
        <v>0</v>
      </c>
      <c r="CG12" t="s">
        <v>20</v>
      </c>
      <c r="DB12">
        <f t="shared" si="5"/>
        <v>0</v>
      </c>
      <c r="DG12" t="s">
        <v>21</v>
      </c>
      <c r="EA12">
        <f t="shared" si="10"/>
        <v>0</v>
      </c>
      <c r="ED12" t="s">
        <v>20</v>
      </c>
      <c r="FD12">
        <f t="shared" si="6"/>
        <v>0</v>
      </c>
      <c r="FG12" t="s">
        <v>20</v>
      </c>
      <c r="GF12">
        <f t="shared" si="1"/>
        <v>0</v>
      </c>
      <c r="GI12" t="s">
        <v>20</v>
      </c>
      <c r="HG12">
        <f t="shared" si="7"/>
        <v>0</v>
      </c>
      <c r="HJ12" t="s">
        <v>39</v>
      </c>
      <c r="IE12">
        <f t="shared" si="8"/>
        <v>0</v>
      </c>
      <c r="IH12" t="s">
        <v>21</v>
      </c>
      <c r="IM12">
        <v>1</v>
      </c>
      <c r="IO12">
        <v>6</v>
      </c>
      <c r="JD12">
        <f t="shared" si="9"/>
        <v>7</v>
      </c>
    </row>
    <row r="13" spans="1:264" ht="14.25" x14ac:dyDescent="0.45">
      <c r="B13" t="s">
        <v>23</v>
      </c>
      <c r="Q13">
        <f t="shared" si="0"/>
        <v>0</v>
      </c>
      <c r="T13" t="s">
        <v>25</v>
      </c>
      <c r="AJ13">
        <f t="shared" si="2"/>
        <v>0</v>
      </c>
      <c r="AM13" t="s">
        <v>33</v>
      </c>
      <c r="BD13">
        <f t="shared" si="3"/>
        <v>0</v>
      </c>
      <c r="BH13" t="s">
        <v>21</v>
      </c>
      <c r="CD13">
        <f t="shared" si="4"/>
        <v>0</v>
      </c>
      <c r="CG13" t="s">
        <v>21</v>
      </c>
      <c r="CO13">
        <v>3</v>
      </c>
      <c r="DB13">
        <f t="shared" si="5"/>
        <v>3</v>
      </c>
      <c r="DG13" t="s">
        <v>22</v>
      </c>
      <c r="EA13">
        <f t="shared" si="10"/>
        <v>0</v>
      </c>
      <c r="ED13" t="s">
        <v>39</v>
      </c>
      <c r="FD13">
        <f t="shared" si="6"/>
        <v>0</v>
      </c>
      <c r="FG13" t="s">
        <v>39</v>
      </c>
      <c r="GF13">
        <f t="shared" si="1"/>
        <v>0</v>
      </c>
      <c r="GI13" t="s">
        <v>39</v>
      </c>
      <c r="HG13">
        <f t="shared" si="7"/>
        <v>0</v>
      </c>
      <c r="HJ13" t="s">
        <v>21</v>
      </c>
      <c r="HR13">
        <v>15</v>
      </c>
      <c r="IE13">
        <f t="shared" si="8"/>
        <v>15</v>
      </c>
      <c r="IH13" t="s">
        <v>22</v>
      </c>
      <c r="IP13">
        <v>3</v>
      </c>
      <c r="JD13">
        <f t="shared" si="9"/>
        <v>3</v>
      </c>
    </row>
    <row r="14" spans="1:264" ht="14.25" x14ac:dyDescent="0.45">
      <c r="B14" t="s">
        <v>24</v>
      </c>
      <c r="Q14">
        <f t="shared" si="0"/>
        <v>0</v>
      </c>
      <c r="T14" t="s">
        <v>24</v>
      </c>
      <c r="AJ14">
        <f t="shared" si="2"/>
        <v>0</v>
      </c>
      <c r="AM14" t="s">
        <v>25</v>
      </c>
      <c r="BD14">
        <f t="shared" si="3"/>
        <v>0</v>
      </c>
      <c r="BH14" t="s">
        <v>22</v>
      </c>
      <c r="CD14">
        <f t="shared" si="4"/>
        <v>0</v>
      </c>
      <c r="CG14" t="s">
        <v>22</v>
      </c>
      <c r="DB14">
        <f t="shared" si="5"/>
        <v>0</v>
      </c>
      <c r="DG14" t="s">
        <v>23</v>
      </c>
      <c r="EA14">
        <f t="shared" si="10"/>
        <v>0</v>
      </c>
      <c r="ED14" t="s">
        <v>40</v>
      </c>
      <c r="FD14">
        <f t="shared" si="6"/>
        <v>0</v>
      </c>
      <c r="FG14" t="s">
        <v>40</v>
      </c>
      <c r="GF14">
        <f t="shared" si="1"/>
        <v>0</v>
      </c>
      <c r="GI14" t="s">
        <v>40</v>
      </c>
      <c r="HG14">
        <f t="shared" si="7"/>
        <v>0</v>
      </c>
      <c r="HJ14" t="s">
        <v>22</v>
      </c>
      <c r="HS14">
        <v>5</v>
      </c>
      <c r="IE14">
        <f t="shared" si="8"/>
        <v>5</v>
      </c>
      <c r="IH14" t="s">
        <v>23</v>
      </c>
      <c r="IQ14">
        <v>1</v>
      </c>
      <c r="JD14">
        <f t="shared" si="9"/>
        <v>1</v>
      </c>
    </row>
    <row r="15" spans="1:264" ht="14.25" x14ac:dyDescent="0.45">
      <c r="B15" t="s">
        <v>25</v>
      </c>
      <c r="Q15">
        <f t="shared" si="0"/>
        <v>0</v>
      </c>
      <c r="T15" t="s">
        <v>31</v>
      </c>
      <c r="AJ15">
        <f t="shared" si="2"/>
        <v>0</v>
      </c>
      <c r="AM15" t="s">
        <v>24</v>
      </c>
      <c r="BD15">
        <f t="shared" si="3"/>
        <v>0</v>
      </c>
      <c r="BH15" t="s">
        <v>23</v>
      </c>
      <c r="CD15">
        <f t="shared" si="4"/>
        <v>0</v>
      </c>
      <c r="CG15" t="s">
        <v>23</v>
      </c>
      <c r="DB15">
        <f t="shared" si="5"/>
        <v>0</v>
      </c>
      <c r="DG15" t="s">
        <v>35</v>
      </c>
      <c r="EA15">
        <f t="shared" si="10"/>
        <v>0</v>
      </c>
      <c r="ED15" t="s">
        <v>21</v>
      </c>
      <c r="EN15">
        <v>22</v>
      </c>
      <c r="EQ15">
        <v>1</v>
      </c>
      <c r="EV15">
        <v>1</v>
      </c>
      <c r="FD15">
        <f t="shared" si="6"/>
        <v>24</v>
      </c>
      <c r="FG15" t="s">
        <v>21</v>
      </c>
      <c r="FQ15">
        <v>11</v>
      </c>
      <c r="GF15">
        <f t="shared" si="1"/>
        <v>11</v>
      </c>
      <c r="GI15" t="s">
        <v>21</v>
      </c>
      <c r="GS15">
        <v>2</v>
      </c>
      <c r="HG15">
        <f t="shared" si="7"/>
        <v>2</v>
      </c>
      <c r="HJ15" t="s">
        <v>23</v>
      </c>
      <c r="IE15">
        <f t="shared" si="8"/>
        <v>0</v>
      </c>
      <c r="IH15" t="s">
        <v>35</v>
      </c>
      <c r="JD15">
        <f t="shared" si="9"/>
        <v>0</v>
      </c>
    </row>
    <row r="16" spans="1:264" ht="14.25" x14ac:dyDescent="0.45">
      <c r="B16" t="s">
        <v>26</v>
      </c>
      <c r="Q16">
        <f t="shared" si="0"/>
        <v>0</v>
      </c>
      <c r="T16" t="s">
        <v>26</v>
      </c>
      <c r="AJ16">
        <f t="shared" si="2"/>
        <v>0</v>
      </c>
      <c r="AM16" t="s">
        <v>31</v>
      </c>
      <c r="BD16">
        <f t="shared" si="3"/>
        <v>0</v>
      </c>
      <c r="BH16" t="s">
        <v>35</v>
      </c>
      <c r="CD16">
        <f t="shared" si="4"/>
        <v>0</v>
      </c>
      <c r="CG16" t="s">
        <v>35</v>
      </c>
      <c r="DB16">
        <f t="shared" si="5"/>
        <v>0</v>
      </c>
      <c r="DG16" t="s">
        <v>33</v>
      </c>
      <c r="EA16">
        <f t="shared" si="10"/>
        <v>0</v>
      </c>
      <c r="ED16" t="s">
        <v>22</v>
      </c>
      <c r="FD16">
        <f t="shared" si="6"/>
        <v>0</v>
      </c>
      <c r="FG16" t="s">
        <v>22</v>
      </c>
      <c r="GF16">
        <f t="shared" si="1"/>
        <v>0</v>
      </c>
      <c r="GI16" t="s">
        <v>22</v>
      </c>
      <c r="HG16">
        <f t="shared" si="7"/>
        <v>0</v>
      </c>
      <c r="HJ16" t="s">
        <v>35</v>
      </c>
      <c r="IE16">
        <f t="shared" si="8"/>
        <v>0</v>
      </c>
      <c r="IH16" t="s">
        <v>33</v>
      </c>
      <c r="IO16">
        <v>1</v>
      </c>
      <c r="IS16">
        <v>2</v>
      </c>
      <c r="JD16">
        <f t="shared" si="9"/>
        <v>3</v>
      </c>
    </row>
    <row r="17" spans="2:264" ht="14.25" x14ac:dyDescent="0.45">
      <c r="B17" t="s">
        <v>27</v>
      </c>
      <c r="Q17">
        <f t="shared" si="0"/>
        <v>0</v>
      </c>
      <c r="T17" t="s">
        <v>27</v>
      </c>
      <c r="AJ17">
        <f t="shared" si="2"/>
        <v>0</v>
      </c>
      <c r="AM17" t="s">
        <v>26</v>
      </c>
      <c r="BD17">
        <f t="shared" si="3"/>
        <v>0</v>
      </c>
      <c r="BH17" t="s">
        <v>33</v>
      </c>
      <c r="CD17">
        <f t="shared" si="4"/>
        <v>0</v>
      </c>
      <c r="CG17" t="s">
        <v>33</v>
      </c>
      <c r="DB17">
        <f t="shared" si="5"/>
        <v>0</v>
      </c>
      <c r="DG17" t="s">
        <v>25</v>
      </c>
      <c r="DI17">
        <v>21</v>
      </c>
      <c r="DK17">
        <v>16</v>
      </c>
      <c r="DM17">
        <v>241</v>
      </c>
      <c r="DN17">
        <v>338</v>
      </c>
      <c r="DO17">
        <v>9</v>
      </c>
      <c r="DP17">
        <v>2</v>
      </c>
      <c r="DQ17">
        <v>4</v>
      </c>
      <c r="DS17">
        <v>146</v>
      </c>
      <c r="DT17">
        <v>1</v>
      </c>
      <c r="DU17">
        <v>3</v>
      </c>
      <c r="DW17">
        <v>20</v>
      </c>
      <c r="DY17">
        <v>4</v>
      </c>
      <c r="DZ17">
        <f>SUM(108+75+205+99+197+212+19+175)</f>
        <v>1090</v>
      </c>
      <c r="EA17">
        <f t="shared" si="10"/>
        <v>1895</v>
      </c>
      <c r="ED17" t="s">
        <v>23</v>
      </c>
      <c r="FD17">
        <f t="shared" si="6"/>
        <v>0</v>
      </c>
      <c r="FG17" t="s">
        <v>23</v>
      </c>
      <c r="GF17">
        <f t="shared" si="1"/>
        <v>0</v>
      </c>
      <c r="GI17" t="s">
        <v>23</v>
      </c>
      <c r="HG17">
        <f t="shared" si="7"/>
        <v>0</v>
      </c>
      <c r="HJ17" t="s">
        <v>33</v>
      </c>
      <c r="HQ17">
        <v>1</v>
      </c>
      <c r="IE17">
        <f t="shared" si="8"/>
        <v>1</v>
      </c>
      <c r="IH17" t="s">
        <v>25</v>
      </c>
      <c r="IK17">
        <v>1</v>
      </c>
      <c r="IO17">
        <v>1</v>
      </c>
      <c r="IP17">
        <v>1</v>
      </c>
      <c r="IZ17">
        <v>2</v>
      </c>
      <c r="JA17">
        <v>12</v>
      </c>
      <c r="JD17">
        <f t="shared" si="9"/>
        <v>17</v>
      </c>
    </row>
    <row r="18" spans="2:264" ht="14.25" x14ac:dyDescent="0.45">
      <c r="B18" t="s">
        <v>28</v>
      </c>
      <c r="Q18">
        <f t="shared" si="0"/>
        <v>0</v>
      </c>
      <c r="T18" t="s">
        <v>28</v>
      </c>
      <c r="AJ18">
        <f t="shared" si="2"/>
        <v>0</v>
      </c>
      <c r="AM18" t="s">
        <v>27</v>
      </c>
      <c r="BD18">
        <f t="shared" si="3"/>
        <v>0</v>
      </c>
      <c r="BH18" t="s">
        <v>25</v>
      </c>
      <c r="BJ18">
        <v>1</v>
      </c>
      <c r="BK18">
        <v>3</v>
      </c>
      <c r="BN18">
        <v>4</v>
      </c>
      <c r="BP18">
        <v>9</v>
      </c>
      <c r="BQ18">
        <v>15</v>
      </c>
      <c r="BR18">
        <v>9</v>
      </c>
      <c r="BU18">
        <v>26</v>
      </c>
      <c r="CB18">
        <v>63</v>
      </c>
      <c r="CD18">
        <f t="shared" si="4"/>
        <v>130</v>
      </c>
      <c r="CG18" t="s">
        <v>25</v>
      </c>
      <c r="CJ18">
        <v>10</v>
      </c>
      <c r="CO18">
        <v>3</v>
      </c>
      <c r="CX18">
        <v>2</v>
      </c>
      <c r="CZ18">
        <v>19</v>
      </c>
      <c r="DA18">
        <v>1</v>
      </c>
      <c r="DB18">
        <f t="shared" si="5"/>
        <v>35</v>
      </c>
      <c r="DG18" t="s">
        <v>24</v>
      </c>
      <c r="DT18">
        <v>32</v>
      </c>
      <c r="EA18">
        <f t="shared" si="10"/>
        <v>32</v>
      </c>
      <c r="ED18" t="s">
        <v>35</v>
      </c>
      <c r="FD18">
        <f t="shared" si="6"/>
        <v>0</v>
      </c>
      <c r="FG18" t="s">
        <v>35</v>
      </c>
      <c r="GF18">
        <f t="shared" si="1"/>
        <v>0</v>
      </c>
      <c r="GI18" t="s">
        <v>35</v>
      </c>
      <c r="HG18">
        <f t="shared" si="7"/>
        <v>0</v>
      </c>
      <c r="HJ18" t="s">
        <v>25</v>
      </c>
      <c r="HL18">
        <v>1</v>
      </c>
      <c r="HR18">
        <v>2</v>
      </c>
      <c r="HY18">
        <v>1</v>
      </c>
      <c r="HZ18">
        <v>3</v>
      </c>
      <c r="IA18">
        <v>1</v>
      </c>
      <c r="ID18">
        <v>4</v>
      </c>
      <c r="IE18">
        <f t="shared" si="8"/>
        <v>12</v>
      </c>
      <c r="IH18" t="s">
        <v>24</v>
      </c>
      <c r="IU18">
        <v>5</v>
      </c>
      <c r="JD18">
        <f t="shared" si="9"/>
        <v>5</v>
      </c>
    </row>
    <row r="19" spans="2:264" ht="14.25" x14ac:dyDescent="0.45">
      <c r="B19" t="s">
        <v>29</v>
      </c>
      <c r="Q19">
        <f t="shared" si="0"/>
        <v>0</v>
      </c>
      <c r="T19" t="s">
        <v>29</v>
      </c>
      <c r="AJ19">
        <f t="shared" si="2"/>
        <v>0</v>
      </c>
      <c r="AM19" t="s">
        <v>28</v>
      </c>
      <c r="BD19">
        <f t="shared" si="3"/>
        <v>0</v>
      </c>
      <c r="BH19" t="s">
        <v>24</v>
      </c>
      <c r="BV19">
        <v>9</v>
      </c>
      <c r="CD19">
        <f t="shared" si="4"/>
        <v>9</v>
      </c>
      <c r="CG19" t="s">
        <v>24</v>
      </c>
      <c r="CU19">
        <v>9</v>
      </c>
      <c r="DB19">
        <f t="shared" si="5"/>
        <v>9</v>
      </c>
      <c r="DG19" t="s">
        <v>31</v>
      </c>
      <c r="EA19">
        <f t="shared" si="10"/>
        <v>0</v>
      </c>
      <c r="ED19" t="s">
        <v>33</v>
      </c>
      <c r="ER19">
        <v>7</v>
      </c>
      <c r="FB19">
        <v>1</v>
      </c>
      <c r="FD19">
        <f t="shared" si="6"/>
        <v>8</v>
      </c>
      <c r="FG19" t="s">
        <v>33</v>
      </c>
      <c r="GF19">
        <f t="shared" si="1"/>
        <v>0</v>
      </c>
      <c r="GI19" t="s">
        <v>33</v>
      </c>
      <c r="HG19">
        <f t="shared" si="7"/>
        <v>0</v>
      </c>
      <c r="HJ19" t="s">
        <v>24</v>
      </c>
      <c r="HX19">
        <v>3</v>
      </c>
      <c r="IE19">
        <f t="shared" si="8"/>
        <v>3</v>
      </c>
      <c r="IH19" t="s">
        <v>31</v>
      </c>
      <c r="IP19">
        <v>2</v>
      </c>
      <c r="IV19">
        <v>17</v>
      </c>
      <c r="IW19">
        <v>2</v>
      </c>
      <c r="JA19">
        <v>1</v>
      </c>
      <c r="JD19">
        <f t="shared" si="9"/>
        <v>22</v>
      </c>
    </row>
    <row r="20" spans="2:264" ht="14.25" x14ac:dyDescent="0.45">
      <c r="T20" t="s">
        <v>41</v>
      </c>
      <c r="AJ20">
        <f t="shared" si="2"/>
        <v>0</v>
      </c>
      <c r="AM20" t="s">
        <v>34</v>
      </c>
      <c r="BD20">
        <f t="shared" si="3"/>
        <v>0</v>
      </c>
      <c r="BH20" t="s">
        <v>31</v>
      </c>
      <c r="BW20">
        <v>2</v>
      </c>
      <c r="CD20">
        <f t="shared" si="4"/>
        <v>2</v>
      </c>
      <c r="CG20" t="s">
        <v>31</v>
      </c>
      <c r="CO20">
        <v>1</v>
      </c>
      <c r="CS20">
        <v>1</v>
      </c>
      <c r="CV20">
        <v>7</v>
      </c>
      <c r="DB20">
        <f t="shared" si="5"/>
        <v>9</v>
      </c>
      <c r="DG20" t="s">
        <v>26</v>
      </c>
      <c r="EA20">
        <f t="shared" si="10"/>
        <v>0</v>
      </c>
      <c r="ED20" t="s">
        <v>25</v>
      </c>
      <c r="EF20">
        <v>9</v>
      </c>
      <c r="EK20">
        <v>3</v>
      </c>
      <c r="EN20">
        <v>5</v>
      </c>
      <c r="EO20">
        <v>2</v>
      </c>
      <c r="EV20">
        <v>6</v>
      </c>
      <c r="EY20">
        <v>2</v>
      </c>
      <c r="FB20">
        <v>35</v>
      </c>
      <c r="FC20">
        <v>1</v>
      </c>
      <c r="FD20">
        <f t="shared" si="6"/>
        <v>63</v>
      </c>
      <c r="FG20" t="s">
        <v>25</v>
      </c>
      <c r="FJ20">
        <v>1</v>
      </c>
      <c r="FV20">
        <v>1</v>
      </c>
      <c r="FW20">
        <v>7</v>
      </c>
      <c r="FZ20">
        <v>1</v>
      </c>
      <c r="GA20">
        <v>2</v>
      </c>
      <c r="GD20">
        <v>6</v>
      </c>
      <c r="GF20">
        <f t="shared" si="1"/>
        <v>18</v>
      </c>
      <c r="GI20" t="s">
        <v>25</v>
      </c>
      <c r="GP20">
        <v>1</v>
      </c>
      <c r="GY20">
        <v>1</v>
      </c>
      <c r="HF20">
        <v>8</v>
      </c>
      <c r="HG20">
        <f t="shared" si="7"/>
        <v>10</v>
      </c>
      <c r="HJ20" t="s">
        <v>31</v>
      </c>
      <c r="HY20">
        <v>2</v>
      </c>
      <c r="IE20">
        <f t="shared" si="8"/>
        <v>2</v>
      </c>
      <c r="IH20" t="s">
        <v>26</v>
      </c>
      <c r="IW20">
        <v>7</v>
      </c>
      <c r="JD20">
        <f t="shared" si="9"/>
        <v>7</v>
      </c>
    </row>
    <row r="21" spans="2:264" ht="14.25" x14ac:dyDescent="0.45">
      <c r="AM21" t="s">
        <v>29</v>
      </c>
      <c r="BD21">
        <f t="shared" si="3"/>
        <v>0</v>
      </c>
      <c r="BH21" t="s">
        <v>26</v>
      </c>
      <c r="CB21">
        <v>4</v>
      </c>
      <c r="CD21">
        <f t="shared" si="4"/>
        <v>4</v>
      </c>
      <c r="CG21" t="s">
        <v>26</v>
      </c>
      <c r="CT21">
        <v>1</v>
      </c>
      <c r="CW21">
        <v>33</v>
      </c>
      <c r="CZ21">
        <v>3</v>
      </c>
      <c r="DB21">
        <f t="shared" si="5"/>
        <v>37</v>
      </c>
      <c r="DG21" t="s">
        <v>27</v>
      </c>
      <c r="EA21">
        <f t="shared" si="10"/>
        <v>0</v>
      </c>
      <c r="ED21" t="s">
        <v>24</v>
      </c>
      <c r="ET21">
        <v>21</v>
      </c>
      <c r="FD21">
        <f t="shared" si="6"/>
        <v>21</v>
      </c>
      <c r="FG21" t="s">
        <v>24</v>
      </c>
      <c r="FK21">
        <v>1</v>
      </c>
      <c r="FS21">
        <v>2</v>
      </c>
      <c r="FV21">
        <v>1</v>
      </c>
      <c r="FW21">
        <v>40</v>
      </c>
      <c r="GF21">
        <f t="shared" si="1"/>
        <v>44</v>
      </c>
      <c r="GI21" t="s">
        <v>24</v>
      </c>
      <c r="GY21">
        <v>31</v>
      </c>
      <c r="HG21">
        <f t="shared" si="7"/>
        <v>31</v>
      </c>
      <c r="HJ21" t="s">
        <v>26</v>
      </c>
      <c r="HR21">
        <v>1</v>
      </c>
      <c r="HU21">
        <v>1</v>
      </c>
      <c r="HZ21">
        <v>29</v>
      </c>
      <c r="IE21">
        <f t="shared" si="8"/>
        <v>31</v>
      </c>
      <c r="IH21" t="s">
        <v>138</v>
      </c>
      <c r="JD21">
        <f t="shared" si="9"/>
        <v>0</v>
      </c>
    </row>
    <row r="22" spans="2:264" ht="14.25" x14ac:dyDescent="0.45">
      <c r="BH22" t="s">
        <v>27</v>
      </c>
      <c r="CD22">
        <f t="shared" si="4"/>
        <v>0</v>
      </c>
      <c r="CG22" t="s">
        <v>27</v>
      </c>
      <c r="DB22">
        <f t="shared" si="5"/>
        <v>0</v>
      </c>
      <c r="DG22" t="s">
        <v>28</v>
      </c>
      <c r="EA22">
        <f t="shared" si="10"/>
        <v>0</v>
      </c>
      <c r="ED22" t="s">
        <v>31</v>
      </c>
      <c r="EN22">
        <v>1</v>
      </c>
      <c r="EO22">
        <v>1</v>
      </c>
      <c r="ET22">
        <v>2</v>
      </c>
      <c r="EU22">
        <v>32</v>
      </c>
      <c r="EV22">
        <v>1</v>
      </c>
      <c r="FB22">
        <v>1</v>
      </c>
      <c r="FD22">
        <f t="shared" si="6"/>
        <v>38</v>
      </c>
      <c r="FG22" t="s">
        <v>31</v>
      </c>
      <c r="GF22">
        <f t="shared" si="1"/>
        <v>0</v>
      </c>
      <c r="GI22" t="s">
        <v>31</v>
      </c>
      <c r="HG22">
        <f t="shared" si="7"/>
        <v>0</v>
      </c>
      <c r="HJ22" t="s">
        <v>27</v>
      </c>
      <c r="IE22">
        <f t="shared" si="8"/>
        <v>0</v>
      </c>
      <c r="IH22" t="s">
        <v>43</v>
      </c>
      <c r="JD22">
        <f t="shared" si="9"/>
        <v>0</v>
      </c>
    </row>
    <row r="23" spans="2:264" ht="14.25" x14ac:dyDescent="0.45">
      <c r="BH23" t="s">
        <v>28</v>
      </c>
      <c r="CD23">
        <f t="shared" si="4"/>
        <v>0</v>
      </c>
      <c r="CG23" t="s">
        <v>28</v>
      </c>
      <c r="DB23">
        <f t="shared" si="5"/>
        <v>0</v>
      </c>
      <c r="DG23" t="s">
        <v>34</v>
      </c>
      <c r="EA23">
        <f t="shared" si="10"/>
        <v>0</v>
      </c>
      <c r="ED23" t="s">
        <v>26</v>
      </c>
      <c r="ES23">
        <v>1</v>
      </c>
      <c r="EV23">
        <v>103</v>
      </c>
      <c r="FB23">
        <v>1</v>
      </c>
      <c r="FD23">
        <f t="shared" si="6"/>
        <v>105</v>
      </c>
      <c r="FG23" t="s">
        <v>26</v>
      </c>
      <c r="FY23">
        <v>5</v>
      </c>
      <c r="GF23">
        <f t="shared" si="1"/>
        <v>5</v>
      </c>
      <c r="GI23" t="s">
        <v>26</v>
      </c>
      <c r="GM23">
        <v>1</v>
      </c>
      <c r="GS23">
        <v>1</v>
      </c>
      <c r="GT23">
        <v>1</v>
      </c>
      <c r="HA23">
        <v>22</v>
      </c>
      <c r="HF23">
        <v>3</v>
      </c>
      <c r="HG23">
        <f t="shared" si="7"/>
        <v>28</v>
      </c>
      <c r="HJ23" t="s">
        <v>28</v>
      </c>
      <c r="IE23">
        <f t="shared" si="8"/>
        <v>0</v>
      </c>
      <c r="IH23" t="s">
        <v>27</v>
      </c>
      <c r="JD23">
        <f t="shared" si="9"/>
        <v>0</v>
      </c>
    </row>
    <row r="24" spans="2:264" ht="14.25" x14ac:dyDescent="0.45">
      <c r="BH24" t="s">
        <v>34</v>
      </c>
      <c r="CD24">
        <f t="shared" si="4"/>
        <v>0</v>
      </c>
      <c r="CG24" t="s">
        <v>29</v>
      </c>
      <c r="CI24">
        <v>1</v>
      </c>
      <c r="CL24">
        <v>2</v>
      </c>
      <c r="CO24">
        <v>5</v>
      </c>
      <c r="CP24">
        <v>2</v>
      </c>
      <c r="CS24">
        <v>1</v>
      </c>
      <c r="CT24">
        <v>2</v>
      </c>
      <c r="CW24">
        <v>3</v>
      </c>
      <c r="CZ24">
        <v>5</v>
      </c>
      <c r="DB24">
        <f>SUM(CI24:DA24)</f>
        <v>21</v>
      </c>
      <c r="DG24" t="s">
        <v>29</v>
      </c>
      <c r="EA24">
        <f t="shared" si="10"/>
        <v>0</v>
      </c>
      <c r="ED24" t="s">
        <v>138</v>
      </c>
      <c r="FD24">
        <f t="shared" si="6"/>
        <v>0</v>
      </c>
      <c r="FG24" t="s">
        <v>43</v>
      </c>
      <c r="GF24">
        <f t="shared" si="1"/>
        <v>0</v>
      </c>
      <c r="GI24" t="s">
        <v>43</v>
      </c>
      <c r="HG24">
        <f t="shared" si="7"/>
        <v>0</v>
      </c>
      <c r="HJ24" t="s">
        <v>34</v>
      </c>
      <c r="IE24">
        <f t="shared" si="8"/>
        <v>0</v>
      </c>
      <c r="IH24" t="s">
        <v>29</v>
      </c>
      <c r="IM24">
        <v>1</v>
      </c>
      <c r="IO24">
        <v>2</v>
      </c>
      <c r="IP24">
        <v>2</v>
      </c>
      <c r="IT24">
        <v>1</v>
      </c>
      <c r="IW24">
        <v>2</v>
      </c>
      <c r="JA24">
        <v>2</v>
      </c>
      <c r="JD24">
        <f t="shared" si="9"/>
        <v>10</v>
      </c>
    </row>
    <row r="25" spans="2:264" ht="14.25" x14ac:dyDescent="0.45">
      <c r="BH25" t="s">
        <v>29</v>
      </c>
      <c r="BJ25">
        <v>1</v>
      </c>
      <c r="CB25">
        <v>1</v>
      </c>
      <c r="CD25">
        <f t="shared" si="4"/>
        <v>2</v>
      </c>
      <c r="CG25" t="s">
        <v>194</v>
      </c>
      <c r="ED25" t="s">
        <v>43</v>
      </c>
      <c r="FD25">
        <f t="shared" si="6"/>
        <v>0</v>
      </c>
      <c r="FG25" t="s">
        <v>27</v>
      </c>
      <c r="GF25">
        <f t="shared" si="1"/>
        <v>0</v>
      </c>
      <c r="GI25" t="s">
        <v>27</v>
      </c>
      <c r="HG25">
        <f t="shared" si="7"/>
        <v>0</v>
      </c>
      <c r="HJ25" t="s">
        <v>29</v>
      </c>
      <c r="HQ25">
        <v>1</v>
      </c>
      <c r="HR25">
        <v>3</v>
      </c>
      <c r="HS25">
        <v>2</v>
      </c>
      <c r="HV25">
        <v>1</v>
      </c>
      <c r="HX25">
        <v>1</v>
      </c>
      <c r="HZ25">
        <v>10</v>
      </c>
      <c r="ID25">
        <v>2</v>
      </c>
      <c r="IE25">
        <f t="shared" si="8"/>
        <v>20</v>
      </c>
      <c r="IH25" t="s">
        <v>40</v>
      </c>
      <c r="JD25">
        <f t="shared" si="9"/>
        <v>0</v>
      </c>
    </row>
    <row r="26" spans="2:264" ht="14.25" x14ac:dyDescent="0.45">
      <c r="BH26" t="s">
        <v>42</v>
      </c>
      <c r="CD26">
        <f t="shared" si="4"/>
        <v>0</v>
      </c>
      <c r="ED26" t="s">
        <v>27</v>
      </c>
      <c r="FD26">
        <f t="shared" si="6"/>
        <v>0</v>
      </c>
      <c r="FG26" t="s">
        <v>28</v>
      </c>
      <c r="GF26">
        <f t="shared" si="1"/>
        <v>0</v>
      </c>
      <c r="GI26" t="s">
        <v>28</v>
      </c>
      <c r="HG26">
        <f t="shared" si="7"/>
        <v>0</v>
      </c>
      <c r="IH26" t="s">
        <v>28</v>
      </c>
      <c r="JD26">
        <f t="shared" si="9"/>
        <v>0</v>
      </c>
    </row>
    <row r="27" spans="2:264" ht="15" customHeight="1" x14ac:dyDescent="0.45">
      <c r="ED27" t="s">
        <v>28</v>
      </c>
      <c r="FD27">
        <f t="shared" si="6"/>
        <v>0</v>
      </c>
      <c r="FG27" t="s">
        <v>34</v>
      </c>
      <c r="GF27">
        <f t="shared" si="1"/>
        <v>0</v>
      </c>
      <c r="GI27" t="s">
        <v>34</v>
      </c>
      <c r="HG27">
        <f t="shared" si="7"/>
        <v>0</v>
      </c>
    </row>
    <row r="28" spans="2:264" ht="15" customHeight="1" x14ac:dyDescent="0.45">
      <c r="ED28" t="s">
        <v>34</v>
      </c>
      <c r="FD28">
        <f t="shared" si="6"/>
        <v>0</v>
      </c>
      <c r="FG28" t="s">
        <v>29</v>
      </c>
      <c r="FJ28">
        <v>2</v>
      </c>
      <c r="FR28">
        <v>1</v>
      </c>
      <c r="FV28">
        <v>1</v>
      </c>
      <c r="FY28">
        <v>5</v>
      </c>
      <c r="GA28">
        <v>1</v>
      </c>
      <c r="GF28">
        <f t="shared" si="1"/>
        <v>10</v>
      </c>
      <c r="GI28" t="s">
        <v>29</v>
      </c>
      <c r="GS28">
        <v>3</v>
      </c>
      <c r="GT28">
        <v>5</v>
      </c>
      <c r="GX28">
        <v>1</v>
      </c>
      <c r="HD28">
        <v>1</v>
      </c>
      <c r="HF28">
        <v>1</v>
      </c>
      <c r="HG28">
        <f t="shared" si="7"/>
        <v>11</v>
      </c>
    </row>
    <row r="29" spans="2:264" ht="15" customHeight="1" x14ac:dyDescent="0.45">
      <c r="ED29" t="s">
        <v>29</v>
      </c>
      <c r="EG29">
        <v>1</v>
      </c>
      <c r="EI29">
        <v>1</v>
      </c>
      <c r="EV29">
        <v>1</v>
      </c>
      <c r="EZ29">
        <v>1</v>
      </c>
      <c r="FB29">
        <v>6</v>
      </c>
      <c r="FD29">
        <f t="shared" si="6"/>
        <v>10</v>
      </c>
      <c r="FG29" t="s">
        <v>42</v>
      </c>
      <c r="GF29">
        <f t="shared" si="1"/>
        <v>0</v>
      </c>
    </row>
    <row r="30" spans="2:264" ht="15" customHeight="1" x14ac:dyDescent="0.45">
      <c r="ED30" t="s">
        <v>42</v>
      </c>
    </row>
    <row r="33" spans="139:139" ht="15" customHeight="1" x14ac:dyDescent="0.45">
      <c r="EI33" t="s">
        <v>139</v>
      </c>
    </row>
    <row r="34" spans="139:139" ht="15" customHeight="1" x14ac:dyDescent="0.45">
      <c r="EI34" t="s">
        <v>140</v>
      </c>
    </row>
    <row r="35" spans="139:139" ht="15" customHeight="1" x14ac:dyDescent="0.45">
      <c r="EI35" t="s">
        <v>141</v>
      </c>
    </row>
    <row r="36" spans="139:139" ht="15" customHeight="1" x14ac:dyDescent="0.45">
      <c r="EI36" t="s">
        <v>142</v>
      </c>
    </row>
    <row r="37" spans="139:139" ht="15" customHeight="1" x14ac:dyDescent="0.45">
      <c r="EI37" t="s">
        <v>143</v>
      </c>
    </row>
  </sheetData>
  <mergeCells count="11">
    <mergeCell ref="EG4:EH4"/>
    <mergeCell ref="FI4:FJ4"/>
    <mergeCell ref="HL4:HM4"/>
    <mergeCell ref="IJ4:IK4"/>
    <mergeCell ref="A6:A7"/>
    <mergeCell ref="E4:H4"/>
    <mergeCell ref="V4:W4"/>
    <mergeCell ref="AO4:AP4"/>
    <mergeCell ref="BL4:BM4"/>
    <mergeCell ref="CL4:CN4"/>
    <mergeCell ref="DJ4:DK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EC567-DCA7-4C02-B7BC-1D045850E801}">
  <dimension ref="A1:V12"/>
  <sheetViews>
    <sheetView topLeftCell="O1" workbookViewId="0">
      <selection activeCell="U13" sqref="U13"/>
    </sheetView>
  </sheetViews>
  <sheetFormatPr defaultRowHeight="14.25" x14ac:dyDescent="0.45"/>
  <sheetData>
    <row r="1" spans="1:22" x14ac:dyDescent="0.45">
      <c r="A1" t="s">
        <v>44</v>
      </c>
    </row>
    <row r="3" spans="1:22" x14ac:dyDescent="0.45">
      <c r="A3" t="s">
        <v>1</v>
      </c>
      <c r="C3" t="s">
        <v>2</v>
      </c>
      <c r="E3" t="s">
        <v>3</v>
      </c>
      <c r="G3" t="s">
        <v>4</v>
      </c>
      <c r="I3" t="s">
        <v>5</v>
      </c>
      <c r="K3" t="s">
        <v>6</v>
      </c>
      <c r="M3" t="s">
        <v>7</v>
      </c>
      <c r="O3" t="s">
        <v>8</v>
      </c>
      <c r="Q3" t="s">
        <v>9</v>
      </c>
      <c r="S3" t="s">
        <v>10</v>
      </c>
      <c r="U3" t="s">
        <v>11</v>
      </c>
    </row>
    <row r="4" spans="1:22" x14ac:dyDescent="0.45">
      <c r="A4" t="s">
        <v>144</v>
      </c>
      <c r="C4" t="s">
        <v>195</v>
      </c>
      <c r="E4" t="s">
        <v>196</v>
      </c>
      <c r="G4" t="s">
        <v>157</v>
      </c>
      <c r="I4" t="s">
        <v>197</v>
      </c>
      <c r="K4" t="s">
        <v>198</v>
      </c>
      <c r="M4" t="s">
        <v>199</v>
      </c>
      <c r="O4" t="s">
        <v>200</v>
      </c>
      <c r="Q4" t="s">
        <v>201</v>
      </c>
      <c r="S4" t="s">
        <v>202</v>
      </c>
      <c r="U4" t="s">
        <v>158</v>
      </c>
    </row>
    <row r="5" spans="1:22" x14ac:dyDescent="0.45">
      <c r="G5" t="s">
        <v>203</v>
      </c>
      <c r="K5" t="s">
        <v>204</v>
      </c>
      <c r="S5" t="s">
        <v>205</v>
      </c>
      <c r="U5" t="s">
        <v>206</v>
      </c>
    </row>
    <row r="6" spans="1:22" x14ac:dyDescent="0.45">
      <c r="G6" t="s">
        <v>207</v>
      </c>
      <c r="K6" t="s">
        <v>208</v>
      </c>
      <c r="S6" t="s">
        <v>209</v>
      </c>
      <c r="U6" t="s">
        <v>210</v>
      </c>
    </row>
    <row r="7" spans="1:22" x14ac:dyDescent="0.45">
      <c r="K7" t="s">
        <v>158</v>
      </c>
      <c r="U7" t="s">
        <v>211</v>
      </c>
    </row>
    <row r="8" spans="1:22" x14ac:dyDescent="0.45">
      <c r="K8" t="s">
        <v>212</v>
      </c>
      <c r="U8" t="s">
        <v>149</v>
      </c>
    </row>
    <row r="9" spans="1:22" x14ac:dyDescent="0.45">
      <c r="K9" t="s">
        <v>86</v>
      </c>
      <c r="U9" t="s">
        <v>206</v>
      </c>
    </row>
    <row r="10" spans="1:22" x14ac:dyDescent="0.45">
      <c r="K10" t="s">
        <v>213</v>
      </c>
      <c r="U10" t="s">
        <v>214</v>
      </c>
      <c r="V10" t="s">
        <v>17</v>
      </c>
    </row>
    <row r="11" spans="1:22" x14ac:dyDescent="0.45">
      <c r="U11" t="s">
        <v>215</v>
      </c>
    </row>
    <row r="12" spans="1:22" x14ac:dyDescent="0.45">
      <c r="U12" t="s">
        <v>116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FD9A1-0E5F-423F-AD87-D1B248B87AA1}">
  <dimension ref="A1:JF37"/>
  <sheetViews>
    <sheetView topLeftCell="IH1" zoomScale="80" zoomScaleNormal="80" workbookViewId="0">
      <selection activeCell="IL5" sqref="IL5:JF24"/>
    </sheetView>
  </sheetViews>
  <sheetFormatPr defaultRowHeight="15" customHeight="1" x14ac:dyDescent="0.45"/>
  <cols>
    <col min="1" max="1" width="5.73046875" bestFit="1" customWidth="1"/>
    <col min="2" max="2" width="13.86328125" bestFit="1" customWidth="1"/>
    <col min="3" max="3" width="6.1328125" bestFit="1" customWidth="1"/>
    <col min="4" max="4" width="4" bestFit="1" customWidth="1"/>
    <col min="5" max="5" width="4.3984375" bestFit="1" customWidth="1"/>
    <col min="6" max="6" width="6.265625" bestFit="1" customWidth="1"/>
    <col min="7" max="7" width="5.73046875" bestFit="1" customWidth="1"/>
    <col min="8" max="8" width="6.1328125" bestFit="1" customWidth="1"/>
    <col min="9" max="9" width="4.3984375" bestFit="1" customWidth="1"/>
    <col min="10" max="10" width="3.86328125" bestFit="1" customWidth="1"/>
    <col min="11" max="11" width="6" bestFit="1" customWidth="1"/>
    <col min="12" max="12" width="11.1328125" bestFit="1" customWidth="1"/>
    <col min="13" max="13" width="7.265625" bestFit="1" customWidth="1"/>
    <col min="14" max="14" width="6.3984375" bestFit="1" customWidth="1"/>
    <col min="15" max="15" width="5.265625" bestFit="1" customWidth="1"/>
    <col min="16" max="16" width="10.59765625" bestFit="1" customWidth="1"/>
    <col min="17" max="17" width="4.73046875" bestFit="1" customWidth="1"/>
    <col min="18" max="18" width="8" customWidth="1"/>
    <col min="19" max="19" width="5.73046875" bestFit="1" customWidth="1"/>
    <col min="20" max="20" width="12.3984375" bestFit="1" customWidth="1"/>
    <col min="21" max="21" width="4" bestFit="1" customWidth="1"/>
    <col min="22" max="22" width="4.3984375" bestFit="1" customWidth="1"/>
    <col min="23" max="23" width="6.265625" bestFit="1" customWidth="1"/>
    <col min="24" max="24" width="5.73046875" bestFit="1" customWidth="1"/>
    <col min="25" max="25" width="6.1328125" bestFit="1" customWidth="1"/>
    <col min="26" max="26" width="4.3984375" bestFit="1" customWidth="1"/>
    <col min="27" max="27" width="3.86328125" bestFit="1" customWidth="1"/>
    <col min="28" max="28" width="11.1328125" bestFit="1" customWidth="1"/>
    <col min="29" max="29" width="6.1328125" bestFit="1" customWidth="1"/>
    <col min="30" max="30" width="6" bestFit="1" customWidth="1"/>
    <col min="31" max="31" width="7.265625" bestFit="1" customWidth="1"/>
    <col min="32" max="32" width="6.59765625" bestFit="1" customWidth="1"/>
    <col min="33" max="33" width="5.265625" bestFit="1" customWidth="1"/>
    <col min="34" max="34" width="10.73046875" bestFit="1" customWidth="1"/>
    <col min="35" max="35" width="8.3984375" bestFit="1" customWidth="1"/>
    <col min="36" max="36" width="4.86328125" bestFit="1" customWidth="1"/>
    <col min="37" max="37" width="4.86328125" customWidth="1"/>
    <col min="38" max="38" width="5.73046875" bestFit="1" customWidth="1"/>
    <col min="39" max="39" width="12.3984375" bestFit="1" customWidth="1"/>
    <col min="40" max="40" width="4" bestFit="1" customWidth="1"/>
    <col min="41" max="41" width="4.3984375" bestFit="1" customWidth="1"/>
    <col min="42" max="42" width="6.265625" bestFit="1" customWidth="1"/>
    <col min="43" max="43" width="5.73046875" bestFit="1" customWidth="1"/>
    <col min="44" max="44" width="6.1328125" bestFit="1" customWidth="1"/>
    <col min="45" max="45" width="4.3984375" bestFit="1" customWidth="1"/>
    <col min="46" max="46" width="3.86328125" bestFit="1" customWidth="1"/>
    <col min="47" max="47" width="8" bestFit="1" customWidth="1"/>
    <col min="48" max="48" width="11.1328125" bestFit="1" customWidth="1"/>
    <col min="49" max="49" width="6" bestFit="1" customWidth="1"/>
    <col min="50" max="50" width="5.86328125" bestFit="1" customWidth="1"/>
    <col min="51" max="51" width="7.265625" bestFit="1" customWidth="1"/>
    <col min="52" max="52" width="6.3984375" bestFit="1" customWidth="1"/>
    <col min="53" max="53" width="5.265625" bestFit="1" customWidth="1"/>
    <col min="54" max="54" width="6.86328125" bestFit="1" customWidth="1"/>
    <col min="55" max="55" width="10.59765625" bestFit="1" customWidth="1"/>
    <col min="56" max="56" width="7.265625" bestFit="1" customWidth="1"/>
    <col min="57" max="58" width="9.265625" customWidth="1"/>
    <col min="61" max="61" width="14.265625" bestFit="1" customWidth="1"/>
    <col min="62" max="62" width="7.1328125" bestFit="1" customWidth="1"/>
    <col min="63" max="63" width="4.73046875" bestFit="1" customWidth="1"/>
    <col min="64" max="64" width="5.1328125" bestFit="1" customWidth="1"/>
    <col min="65" max="65" width="7.265625" bestFit="1" customWidth="1"/>
    <col min="66" max="66" width="6.73046875" bestFit="1" customWidth="1"/>
    <col min="67" max="68" width="6.73046875" customWidth="1"/>
    <col min="69" max="69" width="7.265625" bestFit="1" customWidth="1"/>
    <col min="70" max="70" width="5.265625" bestFit="1" customWidth="1"/>
    <col min="71" max="71" width="4.59765625" bestFit="1" customWidth="1"/>
    <col min="72" max="72" width="4.1328125" bestFit="1" customWidth="1"/>
    <col min="73" max="73" width="9.59765625" bestFit="1" customWidth="1"/>
    <col min="74" max="74" width="12.86328125" bestFit="1" customWidth="1"/>
    <col min="75" max="75" width="7.1328125" bestFit="1" customWidth="1"/>
    <col min="76" max="76" width="6.86328125" bestFit="1" customWidth="1"/>
    <col min="77" max="77" width="8.59765625" bestFit="1" customWidth="1"/>
    <col min="78" max="78" width="7.3984375" bestFit="1" customWidth="1"/>
    <col min="79" max="79" width="6.265625" bestFit="1" customWidth="1"/>
    <col min="80" max="80" width="7.86328125" bestFit="1" customWidth="1"/>
    <col min="81" max="81" width="12" bestFit="1" customWidth="1"/>
    <col min="82" max="82" width="7.59765625" bestFit="1" customWidth="1"/>
    <col min="83" max="83" width="6" bestFit="1" customWidth="1"/>
    <col min="84" max="84" width="10.73046875" customWidth="1"/>
    <col min="86" max="86" width="14.265625" bestFit="1" customWidth="1"/>
    <col min="87" max="87" width="9.59765625" bestFit="1" customWidth="1"/>
    <col min="88" max="88" width="7.73046875" bestFit="1" customWidth="1"/>
    <col min="89" max="89" width="4.73046875" bestFit="1" customWidth="1"/>
    <col min="90" max="90" width="5.1328125" bestFit="1" customWidth="1"/>
    <col min="91" max="91" width="7.265625" bestFit="1" customWidth="1"/>
    <col min="92" max="92" width="4" bestFit="1" customWidth="1"/>
    <col min="93" max="93" width="6.73046875" bestFit="1" customWidth="1"/>
    <col min="94" max="94" width="7.265625" bestFit="1" customWidth="1"/>
    <col min="95" max="95" width="5.265625" bestFit="1" customWidth="1"/>
    <col min="96" max="96" width="4.59765625" bestFit="1" customWidth="1"/>
    <col min="97" max="97" width="4.1328125" bestFit="1" customWidth="1"/>
    <col min="98" max="98" width="9.265625" bestFit="1" customWidth="1"/>
    <col min="99" max="99" width="12.86328125" bestFit="1" customWidth="1"/>
    <col min="100" max="100" width="7.1328125" bestFit="1" customWidth="1"/>
    <col min="101" max="101" width="6.86328125" bestFit="1" customWidth="1"/>
    <col min="102" max="102" width="8.59765625" bestFit="1" customWidth="1"/>
    <col min="103" max="103" width="7.3984375" bestFit="1" customWidth="1"/>
    <col min="104" max="104" width="6.265625" bestFit="1" customWidth="1"/>
    <col min="105" max="105" width="12" bestFit="1" customWidth="1"/>
    <col min="106" max="107" width="12" customWidth="1"/>
    <col min="108" max="108" width="5.59765625" bestFit="1" customWidth="1"/>
    <col min="113" max="113" width="12.3984375" bestFit="1" customWidth="1"/>
    <col min="114" max="114" width="7.73046875" bestFit="1" customWidth="1"/>
    <col min="115" max="115" width="4.73046875" bestFit="1" customWidth="1"/>
    <col min="116" max="116" width="5.1328125" bestFit="1" customWidth="1"/>
    <col min="117" max="117" width="7.265625" bestFit="1" customWidth="1"/>
    <col min="118" max="118" width="4" bestFit="1" customWidth="1"/>
    <col min="119" max="119" width="6.73046875" bestFit="1" customWidth="1"/>
    <col min="120" max="121" width="7.265625" bestFit="1" customWidth="1"/>
    <col min="122" max="122" width="5.265625" bestFit="1" customWidth="1"/>
    <col min="123" max="123" width="4.59765625" bestFit="1" customWidth="1"/>
    <col min="124" max="124" width="4.1328125" bestFit="1" customWidth="1"/>
    <col min="125" max="125" width="9.265625" bestFit="1" customWidth="1"/>
    <col min="126" max="126" width="12.86328125" bestFit="1" customWidth="1"/>
    <col min="127" max="127" width="7.1328125" bestFit="1" customWidth="1"/>
    <col min="128" max="128" width="6.86328125" bestFit="1" customWidth="1"/>
    <col min="129" max="129" width="8.59765625" bestFit="1" customWidth="1"/>
    <col min="130" max="130" width="7.3984375" bestFit="1" customWidth="1"/>
    <col min="131" max="131" width="6.265625" bestFit="1" customWidth="1"/>
    <col min="132" max="132" width="7.86328125" bestFit="1" customWidth="1"/>
    <col min="133" max="133" width="12" bestFit="1" customWidth="1"/>
    <col min="134" max="134" width="5.59765625" bestFit="1" customWidth="1"/>
    <col min="135" max="135" width="6.3984375" customWidth="1"/>
    <col min="136" max="136" width="6" bestFit="1" customWidth="1"/>
    <col min="137" max="137" width="13" bestFit="1" customWidth="1"/>
    <col min="138" max="138" width="9.59765625" customWidth="1"/>
    <col min="139" max="139" width="7.73046875" bestFit="1" customWidth="1"/>
    <col min="140" max="140" width="4.73046875" bestFit="1" customWidth="1"/>
    <col min="141" max="141" width="5.1328125" bestFit="1" customWidth="1"/>
    <col min="142" max="142" width="7.265625" bestFit="1" customWidth="1"/>
    <col min="143" max="143" width="4" bestFit="1" customWidth="1"/>
    <col min="144" max="144" width="6.73046875" bestFit="1" customWidth="1"/>
    <col min="145" max="145" width="7.265625" bestFit="1" customWidth="1"/>
    <col min="146" max="146" width="5" bestFit="1" customWidth="1"/>
    <col min="147" max="147" width="7.265625" bestFit="1" customWidth="1"/>
    <col min="148" max="148" width="5.265625" bestFit="1" customWidth="1"/>
    <col min="149" max="149" width="4.59765625" bestFit="1" customWidth="1"/>
    <col min="150" max="150" width="4.1328125" bestFit="1" customWidth="1"/>
    <col min="151" max="151" width="9.265625" bestFit="1" customWidth="1"/>
    <col min="152" max="152" width="12.86328125" bestFit="1" customWidth="1"/>
    <col min="153" max="153" width="7.1328125" bestFit="1" customWidth="1"/>
    <col min="154" max="154" width="6.86328125" bestFit="1" customWidth="1"/>
    <col min="155" max="155" width="8.59765625" bestFit="1" customWidth="1"/>
    <col min="156" max="156" width="7" customWidth="1"/>
    <col min="157" max="157" width="7.265625" customWidth="1"/>
    <col min="158" max="158" width="7.3984375" bestFit="1" customWidth="1"/>
    <col min="159" max="159" width="6.265625" bestFit="1" customWidth="1"/>
    <col min="160" max="160" width="7.86328125" bestFit="1" customWidth="1"/>
    <col min="161" max="161" width="12" bestFit="1" customWidth="1"/>
    <col min="162" max="162" width="7.59765625" bestFit="1" customWidth="1"/>
    <col min="163" max="163" width="5.59765625" bestFit="1" customWidth="1"/>
    <col min="166" max="166" width="14.265625" bestFit="1" customWidth="1"/>
    <col min="167" max="167" width="9.59765625" bestFit="1" customWidth="1"/>
    <col min="168" max="168" width="7.73046875" bestFit="1" customWidth="1"/>
    <col min="169" max="169" width="4.73046875" bestFit="1" customWidth="1"/>
    <col min="170" max="170" width="5.1328125" bestFit="1" customWidth="1"/>
    <col min="171" max="171" width="7.265625" bestFit="1" customWidth="1"/>
    <col min="172" max="172" width="4" bestFit="1" customWidth="1"/>
    <col min="173" max="173" width="6.73046875" bestFit="1" customWidth="1"/>
    <col min="174" max="174" width="7.265625" bestFit="1" customWidth="1"/>
    <col min="175" max="175" width="5" bestFit="1" customWidth="1"/>
    <col min="176" max="176" width="7.265625" bestFit="1" customWidth="1"/>
    <col min="177" max="177" width="5.265625" bestFit="1" customWidth="1"/>
    <col min="178" max="178" width="4.59765625" bestFit="1" customWidth="1"/>
    <col min="179" max="179" width="4.1328125" bestFit="1" customWidth="1"/>
    <col min="180" max="180" width="9.265625" bestFit="1" customWidth="1"/>
    <col min="181" max="181" width="12.86328125" bestFit="1" customWidth="1"/>
    <col min="182" max="182" width="7.1328125" bestFit="1" customWidth="1"/>
    <col min="183" max="183" width="6.86328125" bestFit="1" customWidth="1"/>
    <col min="184" max="184" width="8.59765625" bestFit="1" customWidth="1"/>
    <col min="185" max="185" width="8.59765625" customWidth="1"/>
    <col min="186" max="186" width="7.3984375" bestFit="1" customWidth="1"/>
    <col min="187" max="187" width="6.265625" bestFit="1" customWidth="1"/>
    <col min="188" max="188" width="7.86328125" bestFit="1" customWidth="1"/>
    <col min="189" max="189" width="12" bestFit="1" customWidth="1"/>
    <col min="190" max="190" width="7.59765625" bestFit="1" customWidth="1"/>
    <col min="191" max="191" width="5.59765625" bestFit="1" customWidth="1"/>
    <col min="194" max="194" width="13" bestFit="1" customWidth="1"/>
    <col min="195" max="195" width="8.73046875" bestFit="1" customWidth="1"/>
    <col min="196" max="196" width="6.73046875" bestFit="1" customWidth="1"/>
    <col min="197" max="197" width="4" bestFit="1" customWidth="1"/>
    <col min="198" max="198" width="4.59765625" bestFit="1" customWidth="1"/>
    <col min="199" max="199" width="6.3984375" bestFit="1" customWidth="1"/>
    <col min="200" max="200" width="3.3984375" bestFit="1" customWidth="1"/>
    <col min="201" max="201" width="6" bestFit="1" customWidth="1"/>
    <col min="202" max="202" width="6.59765625" bestFit="1" customWidth="1"/>
    <col min="203" max="203" width="4.265625" bestFit="1" customWidth="1"/>
    <col min="204" max="204" width="6.59765625" bestFit="1" customWidth="1"/>
    <col min="205" max="205" width="4.73046875" bestFit="1" customWidth="1"/>
    <col min="206" max="206" width="4" bestFit="1" customWidth="1"/>
    <col min="207" max="207" width="3.73046875" bestFit="1" customWidth="1"/>
    <col min="208" max="208" width="8.3984375" bestFit="1" customWidth="1"/>
    <col min="209" max="209" width="11.59765625" bestFit="1" customWidth="1"/>
    <col min="210" max="210" width="6.265625" bestFit="1" customWidth="1"/>
    <col min="211" max="211" width="6" bestFit="1" customWidth="1"/>
    <col min="212" max="212" width="7.73046875" bestFit="1" customWidth="1"/>
    <col min="213" max="213" width="6.3984375" bestFit="1" customWidth="1"/>
    <col min="214" max="214" width="6.73046875" bestFit="1" customWidth="1"/>
    <col min="215" max="215" width="5.86328125" bestFit="1" customWidth="1"/>
    <col min="216" max="216" width="7.1328125" bestFit="1" customWidth="1"/>
    <col min="217" max="217" width="10.86328125" bestFit="1" customWidth="1"/>
    <col min="221" max="221" width="14.86328125" bestFit="1" customWidth="1"/>
    <col min="222" max="222" width="9.59765625" customWidth="1"/>
    <col min="223" max="223" width="7.73046875" customWidth="1"/>
    <col min="224" max="224" width="4.73046875" customWidth="1"/>
    <col min="225" max="225" width="5.1328125" customWidth="1"/>
    <col min="226" max="226" width="7.265625" customWidth="1"/>
    <col min="227" max="227" width="6.73046875" customWidth="1"/>
    <col min="228" max="228" width="6.265625" bestFit="1" customWidth="1"/>
    <col min="229" max="229" width="7.265625" customWidth="1"/>
    <col min="230" max="230" width="5.265625" customWidth="1"/>
    <col min="231" max="231" width="4.59765625" customWidth="1"/>
    <col min="232" max="232" width="4.1328125" customWidth="1"/>
    <col min="233" max="233" width="9.265625" customWidth="1"/>
    <col min="234" max="234" width="12.86328125" customWidth="1"/>
    <col min="235" max="235" width="7.1328125" customWidth="1"/>
    <col min="236" max="236" width="6.86328125" customWidth="1"/>
    <col min="237" max="237" width="8.59765625" customWidth="1"/>
    <col min="238" max="238" width="7.3984375" customWidth="1"/>
    <col min="239" max="239" width="6.265625" customWidth="1"/>
    <col min="240" max="240" width="7.86328125" customWidth="1"/>
    <col min="241" max="241" width="12" customWidth="1"/>
    <col min="242" max="242" width="7.265625" bestFit="1" customWidth="1"/>
    <col min="243" max="243" width="5.59765625" customWidth="1"/>
    <col min="244" max="245" width="10.59765625" customWidth="1"/>
    <col min="246" max="246" width="14.265625" bestFit="1" customWidth="1"/>
    <col min="247" max="247" width="9.59765625" bestFit="1" customWidth="1"/>
    <col min="248" max="248" width="7.73046875" bestFit="1" customWidth="1"/>
    <col min="249" max="249" width="4.73046875" bestFit="1" customWidth="1"/>
    <col min="250" max="250" width="5.1328125" bestFit="1" customWidth="1"/>
    <col min="251" max="251" width="7.265625" bestFit="1" customWidth="1"/>
    <col min="252" max="252" width="6.73046875" bestFit="1" customWidth="1"/>
    <col min="253" max="253" width="7.265625" bestFit="1" customWidth="1"/>
    <col min="254" max="254" width="5.265625" bestFit="1" customWidth="1"/>
    <col min="255" max="255" width="4.59765625" bestFit="1" customWidth="1"/>
    <col min="256" max="256" width="4.1328125" bestFit="1" customWidth="1"/>
    <col min="257" max="257" width="9.265625" bestFit="1" customWidth="1"/>
    <col min="258" max="258" width="12.86328125" bestFit="1" customWidth="1"/>
    <col min="259" max="259" width="7.1328125" bestFit="1" customWidth="1"/>
    <col min="260" max="260" width="6.86328125" bestFit="1" customWidth="1"/>
    <col min="261" max="261" width="8.59765625" bestFit="1" customWidth="1"/>
    <col min="262" max="262" width="7" bestFit="1" customWidth="1"/>
    <col min="263" max="263" width="7.265625" bestFit="1" customWidth="1"/>
    <col min="264" max="264" width="7.3984375" bestFit="1" customWidth="1"/>
    <col min="265" max="265" width="12" bestFit="1" customWidth="1"/>
    <col min="266" max="266" width="5.59765625" bestFit="1" customWidth="1"/>
  </cols>
  <sheetData>
    <row r="1" spans="1:266" ht="14.25" x14ac:dyDescent="0.45">
      <c r="B1" t="s">
        <v>0</v>
      </c>
    </row>
    <row r="3" spans="1:266" ht="14.25" x14ac:dyDescent="0.45">
      <c r="B3" t="s">
        <v>1</v>
      </c>
      <c r="T3" t="s">
        <v>2</v>
      </c>
      <c r="AM3" t="s">
        <v>3</v>
      </c>
      <c r="BI3" t="s">
        <v>4</v>
      </c>
      <c r="CH3" t="s">
        <v>5</v>
      </c>
      <c r="DI3" t="s">
        <v>6</v>
      </c>
      <c r="EG3" t="s">
        <v>7</v>
      </c>
      <c r="FJ3" t="s">
        <v>8</v>
      </c>
      <c r="GL3" t="s">
        <v>9</v>
      </c>
      <c r="HM3" t="s">
        <v>10</v>
      </c>
      <c r="IL3" t="s">
        <v>11</v>
      </c>
    </row>
    <row r="4" spans="1:266" ht="14.25" customHeight="1" x14ac:dyDescent="0.45">
      <c r="B4" t="s">
        <v>12</v>
      </c>
      <c r="E4" s="6" t="s">
        <v>13</v>
      </c>
      <c r="F4" s="6"/>
      <c r="G4" s="6"/>
      <c r="H4" s="6"/>
      <c r="V4" s="6" t="s">
        <v>14</v>
      </c>
      <c r="W4" s="6"/>
      <c r="AO4" s="6" t="s">
        <v>14</v>
      </c>
      <c r="AP4" s="6"/>
      <c r="BM4" s="6" t="s">
        <v>14</v>
      </c>
      <c r="BN4" s="6"/>
      <c r="BO4" s="5"/>
      <c r="BP4" s="5"/>
      <c r="CM4" s="6" t="s">
        <v>13</v>
      </c>
      <c r="CN4" s="6"/>
      <c r="CO4" s="6"/>
      <c r="DL4" s="6" t="s">
        <v>14</v>
      </c>
      <c r="DM4" s="6"/>
      <c r="EJ4" s="6" t="s">
        <v>14</v>
      </c>
      <c r="EK4" s="6"/>
      <c r="FL4" s="6" t="s">
        <v>14</v>
      </c>
      <c r="FM4" s="6"/>
      <c r="HO4" s="6" t="s">
        <v>14</v>
      </c>
      <c r="HP4" s="6"/>
      <c r="IN4" s="6" t="s">
        <v>14</v>
      </c>
      <c r="IO4" s="6"/>
    </row>
    <row r="5" spans="1:266" ht="14.25" x14ac:dyDescent="0.45"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T5" t="s">
        <v>12</v>
      </c>
      <c r="U5" t="s">
        <v>17</v>
      </c>
      <c r="V5" t="s">
        <v>18</v>
      </c>
      <c r="W5" t="s">
        <v>19</v>
      </c>
      <c r="X5" t="s">
        <v>20</v>
      </c>
      <c r="Y5" t="s">
        <v>21</v>
      </c>
      <c r="Z5" t="s">
        <v>22</v>
      </c>
      <c r="AA5" t="s">
        <v>23</v>
      </c>
      <c r="AB5" t="s">
        <v>25</v>
      </c>
      <c r="AC5" t="s">
        <v>24</v>
      </c>
      <c r="AD5" t="s">
        <v>31</v>
      </c>
      <c r="AE5" t="s">
        <v>26</v>
      </c>
      <c r="AF5" t="s">
        <v>27</v>
      </c>
      <c r="AG5" t="s">
        <v>28</v>
      </c>
      <c r="AH5" t="s">
        <v>29</v>
      </c>
      <c r="AI5" t="s">
        <v>41</v>
      </c>
      <c r="AJ5" t="s">
        <v>30</v>
      </c>
      <c r="AL5" t="s">
        <v>32</v>
      </c>
      <c r="AM5" t="s">
        <v>12</v>
      </c>
      <c r="AN5" t="s">
        <v>17</v>
      </c>
      <c r="AO5" t="s">
        <v>18</v>
      </c>
      <c r="AP5" t="s">
        <v>19</v>
      </c>
      <c r="AQ5" t="s">
        <v>20</v>
      </c>
      <c r="AR5" t="s">
        <v>21</v>
      </c>
      <c r="AS5" t="s">
        <v>22</v>
      </c>
      <c r="AT5" t="s">
        <v>23</v>
      </c>
      <c r="AU5" t="s">
        <v>33</v>
      </c>
      <c r="AV5" t="s">
        <v>25</v>
      </c>
      <c r="AW5" t="s">
        <v>24</v>
      </c>
      <c r="AX5" t="s">
        <v>31</v>
      </c>
      <c r="AY5" t="s">
        <v>26</v>
      </c>
      <c r="AZ5" t="s">
        <v>27</v>
      </c>
      <c r="BA5" t="s">
        <v>28</v>
      </c>
      <c r="BB5" t="s">
        <v>34</v>
      </c>
      <c r="BC5" t="s">
        <v>29</v>
      </c>
      <c r="BD5" t="s">
        <v>43</v>
      </c>
      <c r="BE5" t="s">
        <v>30</v>
      </c>
      <c r="BI5" t="s">
        <v>12</v>
      </c>
      <c r="BJ5" t="s">
        <v>16</v>
      </c>
      <c r="BK5" t="s">
        <v>17</v>
      </c>
      <c r="BL5" t="s">
        <v>18</v>
      </c>
      <c r="BM5" t="s">
        <v>19</v>
      </c>
      <c r="BN5" t="s">
        <v>20</v>
      </c>
      <c r="BO5" t="s">
        <v>39</v>
      </c>
      <c r="BP5" t="s">
        <v>40</v>
      </c>
      <c r="BQ5" t="s">
        <v>21</v>
      </c>
      <c r="BR5" t="s">
        <v>22</v>
      </c>
      <c r="BS5" t="s">
        <v>23</v>
      </c>
      <c r="BT5" t="s">
        <v>35</v>
      </c>
      <c r="BU5" t="s">
        <v>137</v>
      </c>
      <c r="BV5" t="s">
        <v>25</v>
      </c>
      <c r="BW5" t="s">
        <v>24</v>
      </c>
      <c r="BX5" t="s">
        <v>31</v>
      </c>
      <c r="BY5" t="s">
        <v>26</v>
      </c>
      <c r="BZ5" t="s">
        <v>27</v>
      </c>
      <c r="CA5" t="s">
        <v>28</v>
      </c>
      <c r="CB5" t="s">
        <v>34</v>
      </c>
      <c r="CC5" t="s">
        <v>29</v>
      </c>
      <c r="CD5" t="s">
        <v>42</v>
      </c>
      <c r="CE5" t="s">
        <v>36</v>
      </c>
      <c r="CH5" t="s">
        <v>12</v>
      </c>
      <c r="CI5" t="s">
        <v>41</v>
      </c>
      <c r="CJ5" t="s">
        <v>38</v>
      </c>
      <c r="CK5" t="s">
        <v>17</v>
      </c>
      <c r="CL5" t="s">
        <v>18</v>
      </c>
      <c r="CM5" t="s">
        <v>19</v>
      </c>
      <c r="CN5" t="s">
        <v>37</v>
      </c>
      <c r="CO5" t="s">
        <v>20</v>
      </c>
      <c r="CP5" t="s">
        <v>21</v>
      </c>
      <c r="CQ5" t="s">
        <v>22</v>
      </c>
      <c r="CR5" t="s">
        <v>23</v>
      </c>
      <c r="CS5" t="s">
        <v>35</v>
      </c>
      <c r="CT5" t="s">
        <v>33</v>
      </c>
      <c r="CU5" t="s">
        <v>25</v>
      </c>
      <c r="CV5" t="s">
        <v>24</v>
      </c>
      <c r="CW5" t="s">
        <v>31</v>
      </c>
      <c r="CX5" t="s">
        <v>26</v>
      </c>
      <c r="CY5" t="s">
        <v>27</v>
      </c>
      <c r="CZ5" t="s">
        <v>28</v>
      </c>
      <c r="DA5" t="s">
        <v>29</v>
      </c>
      <c r="DB5" t="s">
        <v>39</v>
      </c>
      <c r="DC5" t="s">
        <v>34</v>
      </c>
      <c r="DD5" t="s">
        <v>30</v>
      </c>
      <c r="DI5" t="s">
        <v>12</v>
      </c>
      <c r="DJ5" t="s">
        <v>38</v>
      </c>
      <c r="DK5" t="s">
        <v>17</v>
      </c>
      <c r="DL5" t="s">
        <v>18</v>
      </c>
      <c r="DM5" t="s">
        <v>19</v>
      </c>
      <c r="DN5" t="s">
        <v>37</v>
      </c>
      <c r="DO5" t="s">
        <v>20</v>
      </c>
      <c r="DP5" t="s">
        <v>39</v>
      </c>
      <c r="DQ5" t="s">
        <v>21</v>
      </c>
      <c r="DR5" t="s">
        <v>22</v>
      </c>
      <c r="DS5" t="s">
        <v>23</v>
      </c>
      <c r="DT5" t="s">
        <v>35</v>
      </c>
      <c r="DU5" t="s">
        <v>33</v>
      </c>
      <c r="DV5" t="s">
        <v>25</v>
      </c>
      <c r="DW5" t="s">
        <v>24</v>
      </c>
      <c r="DX5" t="s">
        <v>31</v>
      </c>
      <c r="DY5" t="s">
        <v>26</v>
      </c>
      <c r="DZ5" t="s">
        <v>27</v>
      </c>
      <c r="EA5" t="s">
        <v>28</v>
      </c>
      <c r="EB5" t="s">
        <v>34</v>
      </c>
      <c r="EC5" t="s">
        <v>29</v>
      </c>
      <c r="ED5" t="s">
        <v>30</v>
      </c>
      <c r="EG5" t="s">
        <v>12</v>
      </c>
      <c r="EH5" t="s">
        <v>41</v>
      </c>
      <c r="EI5" t="s">
        <v>38</v>
      </c>
      <c r="EJ5" t="s">
        <v>17</v>
      </c>
      <c r="EK5" t="s">
        <v>18</v>
      </c>
      <c r="EL5" t="s">
        <v>19</v>
      </c>
      <c r="EM5" t="s">
        <v>37</v>
      </c>
      <c r="EN5" t="s">
        <v>20</v>
      </c>
      <c r="EO5" t="s">
        <v>39</v>
      </c>
      <c r="EP5" t="s">
        <v>40</v>
      </c>
      <c r="EQ5" t="s">
        <v>21</v>
      </c>
      <c r="ER5" t="s">
        <v>22</v>
      </c>
      <c r="ES5" t="s">
        <v>23</v>
      </c>
      <c r="ET5" t="s">
        <v>35</v>
      </c>
      <c r="EU5" t="s">
        <v>33</v>
      </c>
      <c r="EV5" t="s">
        <v>25</v>
      </c>
      <c r="EW5" t="s">
        <v>24</v>
      </c>
      <c r="EX5" t="s">
        <v>31</v>
      </c>
      <c r="EY5" t="s">
        <v>26</v>
      </c>
      <c r="EZ5" t="s">
        <v>138</v>
      </c>
      <c r="FA5" t="s">
        <v>43</v>
      </c>
      <c r="FB5" t="s">
        <v>27</v>
      </c>
      <c r="FC5" t="s">
        <v>28</v>
      </c>
      <c r="FD5" t="s">
        <v>34</v>
      </c>
      <c r="FE5" t="s">
        <v>29</v>
      </c>
      <c r="FF5" t="s">
        <v>42</v>
      </c>
      <c r="FG5" t="s">
        <v>30</v>
      </c>
      <c r="FJ5" t="s">
        <v>12</v>
      </c>
      <c r="FK5" t="s">
        <v>41</v>
      </c>
      <c r="FL5" t="s">
        <v>38</v>
      </c>
      <c r="FM5" t="s">
        <v>17</v>
      </c>
      <c r="FN5" t="s">
        <v>18</v>
      </c>
      <c r="FO5" t="s">
        <v>19</v>
      </c>
      <c r="FP5" t="s">
        <v>37</v>
      </c>
      <c r="FQ5" t="s">
        <v>20</v>
      </c>
      <c r="FR5" t="s">
        <v>39</v>
      </c>
      <c r="FS5" t="s">
        <v>40</v>
      </c>
      <c r="FT5" t="s">
        <v>21</v>
      </c>
      <c r="FU5" t="s">
        <v>22</v>
      </c>
      <c r="FV5" t="s">
        <v>23</v>
      </c>
      <c r="FW5" t="s">
        <v>35</v>
      </c>
      <c r="FX5" t="s">
        <v>33</v>
      </c>
      <c r="FY5" t="s">
        <v>25</v>
      </c>
      <c r="FZ5" t="s">
        <v>24</v>
      </c>
      <c r="GA5" t="s">
        <v>31</v>
      </c>
      <c r="GB5" t="s">
        <v>26</v>
      </c>
      <c r="GC5" t="s">
        <v>43</v>
      </c>
      <c r="GD5" t="s">
        <v>27</v>
      </c>
      <c r="GE5" t="s">
        <v>28</v>
      </c>
      <c r="GF5" t="s">
        <v>34</v>
      </c>
      <c r="GG5" t="s">
        <v>29</v>
      </c>
      <c r="GH5" t="s">
        <v>42</v>
      </c>
      <c r="GI5" t="s">
        <v>30</v>
      </c>
      <c r="GL5" t="s">
        <v>12</v>
      </c>
      <c r="GM5" t="s">
        <v>41</v>
      </c>
      <c r="GN5" t="s">
        <v>38</v>
      </c>
      <c r="GO5" t="s">
        <v>17</v>
      </c>
      <c r="GP5" t="s">
        <v>18</v>
      </c>
      <c r="GQ5" t="s">
        <v>19</v>
      </c>
      <c r="GR5" t="s">
        <v>37</v>
      </c>
      <c r="GS5" t="s">
        <v>20</v>
      </c>
      <c r="GT5" t="s">
        <v>39</v>
      </c>
      <c r="GU5" t="s">
        <v>40</v>
      </c>
      <c r="GV5" t="s">
        <v>21</v>
      </c>
      <c r="GW5" t="s">
        <v>22</v>
      </c>
      <c r="GX5" t="s">
        <v>23</v>
      </c>
      <c r="GY5" t="s">
        <v>35</v>
      </c>
      <c r="GZ5" t="s">
        <v>33</v>
      </c>
      <c r="HA5" t="s">
        <v>25</v>
      </c>
      <c r="HB5" t="s">
        <v>24</v>
      </c>
      <c r="HC5" t="s">
        <v>31</v>
      </c>
      <c r="HD5" t="s">
        <v>26</v>
      </c>
      <c r="HE5" t="s">
        <v>43</v>
      </c>
      <c r="HF5" t="s">
        <v>27</v>
      </c>
      <c r="HG5" t="s">
        <v>28</v>
      </c>
      <c r="HH5" t="s">
        <v>34</v>
      </c>
      <c r="HI5" t="s">
        <v>29</v>
      </c>
      <c r="HJ5" t="s">
        <v>30</v>
      </c>
      <c r="HM5" t="s">
        <v>15</v>
      </c>
      <c r="HN5" t="s">
        <v>41</v>
      </c>
      <c r="HO5" t="s">
        <v>38</v>
      </c>
      <c r="HP5" t="s">
        <v>17</v>
      </c>
      <c r="HQ5" t="s">
        <v>18</v>
      </c>
      <c r="HR5" t="s">
        <v>19</v>
      </c>
      <c r="HS5" t="s">
        <v>20</v>
      </c>
      <c r="HT5" t="s">
        <v>39</v>
      </c>
      <c r="HU5" t="s">
        <v>21</v>
      </c>
      <c r="HV5" t="s">
        <v>22</v>
      </c>
      <c r="HW5" t="s">
        <v>23</v>
      </c>
      <c r="HX5" t="s">
        <v>35</v>
      </c>
      <c r="HY5" t="s">
        <v>33</v>
      </c>
      <c r="HZ5" t="s">
        <v>25</v>
      </c>
      <c r="IA5" t="s">
        <v>24</v>
      </c>
      <c r="IB5" t="s">
        <v>31</v>
      </c>
      <c r="IC5" t="s">
        <v>26</v>
      </c>
      <c r="ID5" t="s">
        <v>27</v>
      </c>
      <c r="IE5" t="s">
        <v>28</v>
      </c>
      <c r="IF5" t="s">
        <v>34</v>
      </c>
      <c r="IG5" t="s">
        <v>29</v>
      </c>
      <c r="IH5" t="s">
        <v>43</v>
      </c>
      <c r="II5" t="s">
        <v>30</v>
      </c>
      <c r="IL5" t="s">
        <v>12</v>
      </c>
      <c r="IM5" t="s">
        <v>41</v>
      </c>
      <c r="IN5" t="s">
        <v>38</v>
      </c>
      <c r="IO5" t="s">
        <v>17</v>
      </c>
      <c r="IP5" t="s">
        <v>18</v>
      </c>
      <c r="IQ5" t="s">
        <v>19</v>
      </c>
      <c r="IR5" t="s">
        <v>20</v>
      </c>
      <c r="IS5" t="s">
        <v>21</v>
      </c>
      <c r="IT5" t="s">
        <v>22</v>
      </c>
      <c r="IU5" t="s">
        <v>23</v>
      </c>
      <c r="IV5" t="s">
        <v>35</v>
      </c>
      <c r="IW5" t="s">
        <v>33</v>
      </c>
      <c r="IX5" t="s">
        <v>25</v>
      </c>
      <c r="IY5" t="s">
        <v>24</v>
      </c>
      <c r="IZ5" t="s">
        <v>31</v>
      </c>
      <c r="JA5" t="s">
        <v>26</v>
      </c>
      <c r="JB5" t="s">
        <v>138</v>
      </c>
      <c r="JC5" t="s">
        <v>43</v>
      </c>
      <c r="JD5" t="s">
        <v>27</v>
      </c>
      <c r="JE5" t="s">
        <v>29</v>
      </c>
      <c r="JF5" t="s">
        <v>30</v>
      </c>
    </row>
    <row r="6" spans="1:266" ht="14.25" x14ac:dyDescent="0.45">
      <c r="A6" s="6" t="s">
        <v>32</v>
      </c>
      <c r="B6" t="s">
        <v>16</v>
      </c>
      <c r="Q6">
        <f t="shared" ref="Q6:Q19" si="0">SUM(C6:P6)</f>
        <v>0</v>
      </c>
      <c r="S6" t="s">
        <v>32</v>
      </c>
      <c r="T6" t="s">
        <v>17</v>
      </c>
      <c r="U6">
        <v>1</v>
      </c>
      <c r="AJ6">
        <f>SUM(U6:AI6)</f>
        <v>1</v>
      </c>
      <c r="AM6" t="s">
        <v>17</v>
      </c>
      <c r="BE6">
        <f>SUM(AN6:BD6)</f>
        <v>0</v>
      </c>
      <c r="BH6" t="s">
        <v>32</v>
      </c>
      <c r="BI6" t="s">
        <v>16</v>
      </c>
      <c r="CE6">
        <f>SUM(BJ6:CD6)</f>
        <v>0</v>
      </c>
      <c r="CG6" t="s">
        <v>32</v>
      </c>
      <c r="CH6" t="s">
        <v>41</v>
      </c>
      <c r="CU6">
        <v>2</v>
      </c>
      <c r="DD6">
        <f>SUM(CI6:DC6)</f>
        <v>2</v>
      </c>
      <c r="DH6" t="s">
        <v>32</v>
      </c>
      <c r="DI6" t="s">
        <v>38</v>
      </c>
      <c r="ED6">
        <f>SUM(DJ6:EC6)</f>
        <v>0</v>
      </c>
      <c r="EF6" t="s">
        <v>32</v>
      </c>
      <c r="EG6" t="s">
        <v>41</v>
      </c>
      <c r="EV6">
        <v>2</v>
      </c>
      <c r="EY6">
        <v>1</v>
      </c>
      <c r="FE6">
        <v>1</v>
      </c>
      <c r="FG6">
        <f>SUM(EH6:FF6)</f>
        <v>4</v>
      </c>
      <c r="FI6" t="s">
        <v>32</v>
      </c>
      <c r="FJ6" t="s">
        <v>41</v>
      </c>
      <c r="GI6">
        <f t="shared" ref="GI6:GI29" si="1">SUM(FK6:GH6)</f>
        <v>0</v>
      </c>
      <c r="GL6" t="s">
        <v>41</v>
      </c>
      <c r="HJ6">
        <f>SUM(GM6:HI6)</f>
        <v>0</v>
      </c>
      <c r="HL6" t="s">
        <v>32</v>
      </c>
      <c r="HM6" t="s">
        <v>41</v>
      </c>
      <c r="IC6">
        <v>2</v>
      </c>
      <c r="II6">
        <f t="shared" ref="II6:II26" si="2">SUM(HN6:IH6)</f>
        <v>2</v>
      </c>
      <c r="IK6" t="s">
        <v>32</v>
      </c>
      <c r="IL6" t="s">
        <v>41</v>
      </c>
      <c r="IX6">
        <v>1</v>
      </c>
      <c r="JF6">
        <f>SUM(IM6:JE6)</f>
        <v>1</v>
      </c>
    </row>
    <row r="7" spans="1:266" ht="14.25" x14ac:dyDescent="0.45">
      <c r="A7" s="6"/>
      <c r="B7" t="s">
        <v>17</v>
      </c>
      <c r="Q7">
        <f t="shared" si="0"/>
        <v>0</v>
      </c>
      <c r="T7" t="s">
        <v>18</v>
      </c>
      <c r="AJ7">
        <f t="shared" ref="AJ7:AJ20" si="3">SUM(U7:AI7)</f>
        <v>0</v>
      </c>
      <c r="AM7" t="s">
        <v>18</v>
      </c>
      <c r="BE7">
        <f t="shared" ref="BE7:BE22" si="4">SUM(AN7:BD7)</f>
        <v>0</v>
      </c>
      <c r="BI7" t="s">
        <v>17</v>
      </c>
      <c r="BK7">
        <v>3</v>
      </c>
      <c r="BZ7">
        <v>2</v>
      </c>
      <c r="CC7">
        <v>1</v>
      </c>
      <c r="CE7">
        <f t="shared" ref="CE7:CE26" si="5">SUM(BJ7:CD7)</f>
        <v>6</v>
      </c>
      <c r="CH7" t="s">
        <v>16</v>
      </c>
      <c r="DD7">
        <f t="shared" ref="DD7:DD26" si="6">SUM(CI7:DC7)</f>
        <v>0</v>
      </c>
      <c r="DI7" t="s">
        <v>17</v>
      </c>
      <c r="DK7">
        <v>2</v>
      </c>
      <c r="ED7">
        <f>SUM(DJ7:EC7)</f>
        <v>2</v>
      </c>
      <c r="EG7" t="s">
        <v>38</v>
      </c>
      <c r="FG7">
        <f t="shared" ref="FG7:FG30" si="7">SUM(EH7:FF7)</f>
        <v>0</v>
      </c>
      <c r="FJ7" t="s">
        <v>38</v>
      </c>
      <c r="GI7">
        <f t="shared" si="1"/>
        <v>0</v>
      </c>
      <c r="GL7" t="s">
        <v>38</v>
      </c>
      <c r="HJ7">
        <f t="shared" ref="HJ7:HJ28" si="8">SUM(GM7:HI7)</f>
        <v>0</v>
      </c>
      <c r="HM7" t="s">
        <v>38</v>
      </c>
      <c r="II7">
        <f t="shared" si="2"/>
        <v>0</v>
      </c>
      <c r="IL7" t="s">
        <v>38</v>
      </c>
      <c r="JF7">
        <f t="shared" ref="JF7:JF24" si="9">SUM(IM7:JE7)</f>
        <v>0</v>
      </c>
    </row>
    <row r="8" spans="1:266" ht="14.25" x14ac:dyDescent="0.45">
      <c r="B8" t="s">
        <v>18</v>
      </c>
      <c r="Q8">
        <f t="shared" si="0"/>
        <v>0</v>
      </c>
      <c r="T8" t="s">
        <v>19</v>
      </c>
      <c r="AJ8">
        <f t="shared" si="3"/>
        <v>0</v>
      </c>
      <c r="AM8" t="s">
        <v>19</v>
      </c>
      <c r="BE8">
        <f t="shared" si="4"/>
        <v>0</v>
      </c>
      <c r="BI8" t="s">
        <v>18</v>
      </c>
      <c r="BL8">
        <v>4</v>
      </c>
      <c r="BM8">
        <v>2</v>
      </c>
      <c r="BO8">
        <v>1</v>
      </c>
      <c r="BR8">
        <v>1</v>
      </c>
      <c r="BS8">
        <v>1</v>
      </c>
      <c r="BU8">
        <v>1</v>
      </c>
      <c r="BV8">
        <v>2</v>
      </c>
      <c r="CC8">
        <v>5</v>
      </c>
      <c r="CE8">
        <f t="shared" si="5"/>
        <v>17</v>
      </c>
      <c r="CH8" t="s">
        <v>17</v>
      </c>
      <c r="CK8">
        <v>18</v>
      </c>
      <c r="DD8">
        <f t="shared" si="6"/>
        <v>18</v>
      </c>
      <c r="DI8" t="s">
        <v>18</v>
      </c>
      <c r="DJ8">
        <v>4</v>
      </c>
      <c r="DL8">
        <v>10</v>
      </c>
      <c r="DQ8">
        <v>5</v>
      </c>
      <c r="DR8">
        <v>8</v>
      </c>
      <c r="DY8">
        <v>6</v>
      </c>
      <c r="EA8">
        <v>1</v>
      </c>
      <c r="EC8">
        <v>3</v>
      </c>
      <c r="ED8">
        <f t="shared" ref="ED8:ED25" si="10">SUM(DJ8:EC8)</f>
        <v>37</v>
      </c>
      <c r="EG8" t="s">
        <v>17</v>
      </c>
      <c r="EJ8">
        <v>66</v>
      </c>
      <c r="EQ8">
        <v>3</v>
      </c>
      <c r="ER8">
        <v>1</v>
      </c>
      <c r="EV8">
        <v>1</v>
      </c>
      <c r="FB8">
        <v>7</v>
      </c>
      <c r="FE8">
        <v>8</v>
      </c>
      <c r="FG8">
        <f t="shared" si="7"/>
        <v>86</v>
      </c>
      <c r="FJ8" t="s">
        <v>17</v>
      </c>
      <c r="FM8">
        <v>17</v>
      </c>
      <c r="FT8">
        <v>1</v>
      </c>
      <c r="FU8">
        <v>1</v>
      </c>
      <c r="FY8">
        <v>1</v>
      </c>
      <c r="GA8">
        <v>1</v>
      </c>
      <c r="GD8">
        <v>3</v>
      </c>
      <c r="GG8">
        <v>3</v>
      </c>
      <c r="GI8">
        <f t="shared" si="1"/>
        <v>27</v>
      </c>
      <c r="GL8" t="s">
        <v>17</v>
      </c>
      <c r="GO8">
        <v>3</v>
      </c>
      <c r="HC8">
        <v>1</v>
      </c>
      <c r="HF8">
        <v>1</v>
      </c>
      <c r="HJ8">
        <f t="shared" si="8"/>
        <v>5</v>
      </c>
      <c r="HM8" t="s">
        <v>17</v>
      </c>
      <c r="HP8">
        <v>4</v>
      </c>
      <c r="HU8">
        <v>1</v>
      </c>
      <c r="IH8">
        <v>1</v>
      </c>
      <c r="II8">
        <f t="shared" si="2"/>
        <v>6</v>
      </c>
      <c r="IL8" t="s">
        <v>17</v>
      </c>
      <c r="IO8">
        <v>39</v>
      </c>
      <c r="IS8">
        <v>3</v>
      </c>
      <c r="IT8">
        <v>1</v>
      </c>
      <c r="JD8">
        <v>15</v>
      </c>
      <c r="JE8">
        <v>5</v>
      </c>
      <c r="JF8">
        <f t="shared" si="9"/>
        <v>63</v>
      </c>
    </row>
    <row r="9" spans="1:266" ht="14.25" x14ac:dyDescent="0.45">
      <c r="B9" t="s">
        <v>19</v>
      </c>
      <c r="Q9">
        <f t="shared" si="0"/>
        <v>0</v>
      </c>
      <c r="T9" t="s">
        <v>20</v>
      </c>
      <c r="AJ9">
        <f t="shared" si="3"/>
        <v>0</v>
      </c>
      <c r="AM9" t="s">
        <v>20</v>
      </c>
      <c r="BE9">
        <f t="shared" si="4"/>
        <v>0</v>
      </c>
      <c r="BI9" t="s">
        <v>19</v>
      </c>
      <c r="CE9">
        <f t="shared" si="5"/>
        <v>0</v>
      </c>
      <c r="CH9" t="s">
        <v>18</v>
      </c>
      <c r="CK9">
        <v>1</v>
      </c>
      <c r="CL9">
        <v>6</v>
      </c>
      <c r="CP9">
        <v>2</v>
      </c>
      <c r="CQ9">
        <v>3</v>
      </c>
      <c r="CU9">
        <v>1</v>
      </c>
      <c r="CZ9">
        <v>2</v>
      </c>
      <c r="DA9">
        <v>2</v>
      </c>
      <c r="DD9">
        <f t="shared" si="6"/>
        <v>17</v>
      </c>
      <c r="DI9" t="s">
        <v>19</v>
      </c>
      <c r="DM9">
        <v>1</v>
      </c>
      <c r="ED9">
        <f t="shared" si="10"/>
        <v>1</v>
      </c>
      <c r="EG9" t="s">
        <v>18</v>
      </c>
      <c r="EI9">
        <v>2</v>
      </c>
      <c r="EK9">
        <v>108</v>
      </c>
      <c r="EQ9">
        <v>2</v>
      </c>
      <c r="ER9">
        <v>1</v>
      </c>
      <c r="ES9">
        <v>2</v>
      </c>
      <c r="EY9">
        <v>2</v>
      </c>
      <c r="FC9">
        <v>1</v>
      </c>
      <c r="FE9">
        <v>7</v>
      </c>
      <c r="FG9">
        <f t="shared" si="7"/>
        <v>125</v>
      </c>
      <c r="FJ9" t="s">
        <v>18</v>
      </c>
      <c r="FL9">
        <v>2</v>
      </c>
      <c r="FN9">
        <v>24</v>
      </c>
      <c r="FT9">
        <v>8</v>
      </c>
      <c r="FU9">
        <v>11</v>
      </c>
      <c r="GB9">
        <v>7</v>
      </c>
      <c r="GE9">
        <v>3</v>
      </c>
      <c r="GG9">
        <v>6</v>
      </c>
      <c r="GI9">
        <f t="shared" si="1"/>
        <v>61</v>
      </c>
      <c r="GL9" t="s">
        <v>18</v>
      </c>
      <c r="GP9">
        <v>101</v>
      </c>
      <c r="GQ9">
        <v>2</v>
      </c>
      <c r="GV9">
        <v>11</v>
      </c>
      <c r="GW9">
        <v>12</v>
      </c>
      <c r="GZ9">
        <v>1</v>
      </c>
      <c r="HA9">
        <v>10</v>
      </c>
      <c r="HC9">
        <v>1</v>
      </c>
      <c r="HD9">
        <v>3</v>
      </c>
      <c r="HI9">
        <v>7</v>
      </c>
      <c r="HJ9">
        <f t="shared" si="8"/>
        <v>148</v>
      </c>
      <c r="HM9" t="s">
        <v>18</v>
      </c>
      <c r="HO9">
        <v>3</v>
      </c>
      <c r="HQ9">
        <v>113</v>
      </c>
      <c r="HR9">
        <v>3</v>
      </c>
      <c r="HT9">
        <v>1</v>
      </c>
      <c r="HU9">
        <v>3</v>
      </c>
      <c r="HV9">
        <v>20</v>
      </c>
      <c r="HW9">
        <v>3</v>
      </c>
      <c r="HZ9">
        <v>4</v>
      </c>
      <c r="IB9">
        <v>2</v>
      </c>
      <c r="IC9">
        <v>5</v>
      </c>
      <c r="IE9">
        <v>6</v>
      </c>
      <c r="IG9">
        <v>12</v>
      </c>
      <c r="II9">
        <f t="shared" si="2"/>
        <v>175</v>
      </c>
      <c r="IL9" t="s">
        <v>18</v>
      </c>
      <c r="IP9">
        <v>26</v>
      </c>
      <c r="IT9">
        <v>1</v>
      </c>
      <c r="IU9">
        <v>2</v>
      </c>
      <c r="IX9">
        <v>3</v>
      </c>
      <c r="JE9">
        <v>2</v>
      </c>
      <c r="JF9">
        <f t="shared" si="9"/>
        <v>34</v>
      </c>
    </row>
    <row r="10" spans="1:266" ht="14.25" x14ac:dyDescent="0.45">
      <c r="B10" t="s">
        <v>20</v>
      </c>
      <c r="Q10">
        <f t="shared" si="0"/>
        <v>0</v>
      </c>
      <c r="T10" t="s">
        <v>21</v>
      </c>
      <c r="AJ10">
        <f t="shared" si="3"/>
        <v>0</v>
      </c>
      <c r="AM10" t="s">
        <v>21</v>
      </c>
      <c r="AR10">
        <v>6</v>
      </c>
      <c r="BE10">
        <f t="shared" si="4"/>
        <v>6</v>
      </c>
      <c r="BI10" t="s">
        <v>20</v>
      </c>
      <c r="CE10">
        <f t="shared" si="5"/>
        <v>0</v>
      </c>
      <c r="CH10" t="s">
        <v>19</v>
      </c>
      <c r="CM10">
        <v>15</v>
      </c>
      <c r="DB10">
        <v>1</v>
      </c>
      <c r="DD10">
        <f t="shared" si="6"/>
        <v>16</v>
      </c>
      <c r="DI10" t="s">
        <v>37</v>
      </c>
      <c r="ED10">
        <f t="shared" si="10"/>
        <v>0</v>
      </c>
      <c r="EG10" t="s">
        <v>19</v>
      </c>
      <c r="EL10">
        <v>23</v>
      </c>
      <c r="FG10">
        <f t="shared" si="7"/>
        <v>23</v>
      </c>
      <c r="FJ10" t="s">
        <v>19</v>
      </c>
      <c r="FO10">
        <v>1</v>
      </c>
      <c r="GI10">
        <f t="shared" si="1"/>
        <v>1</v>
      </c>
      <c r="GL10" t="s">
        <v>19</v>
      </c>
      <c r="GQ10">
        <v>14</v>
      </c>
      <c r="HJ10">
        <f t="shared" si="8"/>
        <v>14</v>
      </c>
      <c r="HM10" t="s">
        <v>19</v>
      </c>
      <c r="HR10">
        <v>3</v>
      </c>
      <c r="HT10">
        <v>1</v>
      </c>
      <c r="HU10">
        <v>1</v>
      </c>
      <c r="II10">
        <f t="shared" si="2"/>
        <v>5</v>
      </c>
      <c r="IL10" t="s">
        <v>19</v>
      </c>
      <c r="IQ10">
        <v>1</v>
      </c>
      <c r="JF10">
        <f t="shared" si="9"/>
        <v>1</v>
      </c>
    </row>
    <row r="11" spans="1:266" ht="14.25" x14ac:dyDescent="0.45">
      <c r="B11" t="s">
        <v>21</v>
      </c>
      <c r="Q11">
        <f t="shared" si="0"/>
        <v>0</v>
      </c>
      <c r="T11" t="s">
        <v>22</v>
      </c>
      <c r="AJ11">
        <f t="shared" si="3"/>
        <v>0</v>
      </c>
      <c r="AM11" t="s">
        <v>22</v>
      </c>
      <c r="BE11">
        <f t="shared" si="4"/>
        <v>0</v>
      </c>
      <c r="BI11" t="s">
        <v>39</v>
      </c>
      <c r="CE11">
        <f t="shared" si="5"/>
        <v>0</v>
      </c>
      <c r="CH11" t="s">
        <v>37</v>
      </c>
      <c r="DD11">
        <f t="shared" si="6"/>
        <v>0</v>
      </c>
      <c r="DI11" t="s">
        <v>20</v>
      </c>
      <c r="DO11">
        <v>1</v>
      </c>
      <c r="ED11">
        <f t="shared" si="10"/>
        <v>1</v>
      </c>
      <c r="EG11" t="s">
        <v>37</v>
      </c>
      <c r="FG11">
        <f t="shared" si="7"/>
        <v>0</v>
      </c>
      <c r="FJ11" t="s">
        <v>37</v>
      </c>
      <c r="GI11">
        <f t="shared" si="1"/>
        <v>0</v>
      </c>
      <c r="GL11" t="s">
        <v>37</v>
      </c>
      <c r="HJ11">
        <f t="shared" si="8"/>
        <v>0</v>
      </c>
      <c r="HM11" t="s">
        <v>20</v>
      </c>
      <c r="II11">
        <f t="shared" si="2"/>
        <v>0</v>
      </c>
      <c r="IL11" t="s">
        <v>20</v>
      </c>
      <c r="IR11">
        <v>8</v>
      </c>
      <c r="JF11">
        <f t="shared" si="9"/>
        <v>8</v>
      </c>
    </row>
    <row r="12" spans="1:266" ht="14.25" x14ac:dyDescent="0.45">
      <c r="B12" t="s">
        <v>22</v>
      </c>
      <c r="F12" t="s">
        <v>216</v>
      </c>
      <c r="Q12">
        <f t="shared" si="0"/>
        <v>0</v>
      </c>
      <c r="T12" t="s">
        <v>23</v>
      </c>
      <c r="AJ12">
        <f t="shared" si="3"/>
        <v>0</v>
      </c>
      <c r="AM12" t="s">
        <v>23</v>
      </c>
      <c r="BE12">
        <f t="shared" si="4"/>
        <v>0</v>
      </c>
      <c r="BI12" t="s">
        <v>40</v>
      </c>
      <c r="CE12">
        <f t="shared" si="5"/>
        <v>0</v>
      </c>
      <c r="CH12" t="s">
        <v>20</v>
      </c>
      <c r="DD12">
        <f t="shared" si="6"/>
        <v>0</v>
      </c>
      <c r="DI12" t="s">
        <v>39</v>
      </c>
      <c r="ED12">
        <f t="shared" si="10"/>
        <v>0</v>
      </c>
      <c r="EG12" t="s">
        <v>20</v>
      </c>
      <c r="EN12">
        <v>11</v>
      </c>
      <c r="FG12">
        <f t="shared" si="7"/>
        <v>11</v>
      </c>
      <c r="FJ12" t="s">
        <v>20</v>
      </c>
      <c r="FQ12">
        <v>5</v>
      </c>
      <c r="GI12">
        <f t="shared" si="1"/>
        <v>5</v>
      </c>
      <c r="GL12" t="s">
        <v>20</v>
      </c>
      <c r="HJ12">
        <f t="shared" si="8"/>
        <v>0</v>
      </c>
      <c r="HM12" t="s">
        <v>39</v>
      </c>
      <c r="II12">
        <f t="shared" si="2"/>
        <v>0</v>
      </c>
      <c r="IL12" t="s">
        <v>21</v>
      </c>
      <c r="JF12">
        <f t="shared" si="9"/>
        <v>0</v>
      </c>
    </row>
    <row r="13" spans="1:266" ht="14.25" x14ac:dyDescent="0.45">
      <c r="B13" t="s">
        <v>23</v>
      </c>
      <c r="Q13">
        <f t="shared" si="0"/>
        <v>0</v>
      </c>
      <c r="T13" t="s">
        <v>25</v>
      </c>
      <c r="AJ13">
        <f t="shared" si="3"/>
        <v>0</v>
      </c>
      <c r="AM13" t="s">
        <v>33</v>
      </c>
      <c r="BE13">
        <f t="shared" si="4"/>
        <v>0</v>
      </c>
      <c r="BI13" t="s">
        <v>21</v>
      </c>
      <c r="BQ13">
        <v>23</v>
      </c>
      <c r="BR13">
        <v>1</v>
      </c>
      <c r="BS13">
        <v>1</v>
      </c>
      <c r="BX13">
        <v>5</v>
      </c>
      <c r="BZ13">
        <v>2</v>
      </c>
      <c r="CC13">
        <v>1</v>
      </c>
      <c r="CE13">
        <f t="shared" si="5"/>
        <v>33</v>
      </c>
      <c r="CH13" t="s">
        <v>21</v>
      </c>
      <c r="CP13">
        <v>29</v>
      </c>
      <c r="DD13">
        <f t="shared" si="6"/>
        <v>29</v>
      </c>
      <c r="DI13" t="s">
        <v>21</v>
      </c>
      <c r="DQ13">
        <v>10</v>
      </c>
      <c r="ED13">
        <f t="shared" si="10"/>
        <v>10</v>
      </c>
      <c r="EG13" t="s">
        <v>39</v>
      </c>
      <c r="FG13">
        <f t="shared" si="7"/>
        <v>0</v>
      </c>
      <c r="FJ13" t="s">
        <v>39</v>
      </c>
      <c r="GI13">
        <f t="shared" si="1"/>
        <v>0</v>
      </c>
      <c r="GL13" t="s">
        <v>39</v>
      </c>
      <c r="HJ13">
        <f t="shared" si="8"/>
        <v>0</v>
      </c>
      <c r="HM13" t="s">
        <v>21</v>
      </c>
      <c r="HU13">
        <v>33</v>
      </c>
      <c r="HX13">
        <v>1</v>
      </c>
      <c r="IB13">
        <v>1</v>
      </c>
      <c r="II13">
        <f t="shared" si="2"/>
        <v>35</v>
      </c>
      <c r="IL13" t="s">
        <v>22</v>
      </c>
      <c r="IT13">
        <v>11</v>
      </c>
      <c r="JF13">
        <f t="shared" si="9"/>
        <v>11</v>
      </c>
    </row>
    <row r="14" spans="1:266" ht="14.25" x14ac:dyDescent="0.45">
      <c r="B14" t="s">
        <v>24</v>
      </c>
      <c r="Q14">
        <f t="shared" si="0"/>
        <v>0</v>
      </c>
      <c r="T14" t="s">
        <v>24</v>
      </c>
      <c r="AC14">
        <v>6</v>
      </c>
      <c r="AJ14">
        <f t="shared" si="3"/>
        <v>6</v>
      </c>
      <c r="AM14" t="s">
        <v>25</v>
      </c>
      <c r="AT14">
        <v>1</v>
      </c>
      <c r="BC14">
        <v>3</v>
      </c>
      <c r="BD14">
        <v>1</v>
      </c>
      <c r="BE14">
        <f t="shared" si="4"/>
        <v>5</v>
      </c>
      <c r="BI14" t="s">
        <v>22</v>
      </c>
      <c r="BR14">
        <v>5</v>
      </c>
      <c r="CC14">
        <v>1</v>
      </c>
      <c r="CE14">
        <f t="shared" si="5"/>
        <v>6</v>
      </c>
      <c r="CH14" t="s">
        <v>22</v>
      </c>
      <c r="DD14">
        <f t="shared" si="6"/>
        <v>0</v>
      </c>
      <c r="DI14" t="s">
        <v>22</v>
      </c>
      <c r="ED14">
        <f t="shared" si="10"/>
        <v>0</v>
      </c>
      <c r="EG14" t="s">
        <v>40</v>
      </c>
      <c r="FG14">
        <f t="shared" si="7"/>
        <v>0</v>
      </c>
      <c r="FJ14" t="s">
        <v>40</v>
      </c>
      <c r="GI14">
        <f t="shared" si="1"/>
        <v>0</v>
      </c>
      <c r="GL14" t="s">
        <v>40</v>
      </c>
      <c r="HJ14">
        <f t="shared" si="8"/>
        <v>0</v>
      </c>
      <c r="HM14" t="s">
        <v>22</v>
      </c>
      <c r="HV14">
        <v>52</v>
      </c>
      <c r="IB14">
        <v>1</v>
      </c>
      <c r="II14">
        <f t="shared" si="2"/>
        <v>53</v>
      </c>
      <c r="IL14" t="s">
        <v>23</v>
      </c>
      <c r="JF14">
        <f t="shared" si="9"/>
        <v>0</v>
      </c>
    </row>
    <row r="15" spans="1:266" ht="14.25" x14ac:dyDescent="0.45">
      <c r="B15" t="s">
        <v>25</v>
      </c>
      <c r="Q15">
        <f t="shared" si="0"/>
        <v>0</v>
      </c>
      <c r="T15" t="s">
        <v>31</v>
      </c>
      <c r="AJ15">
        <f t="shared" si="3"/>
        <v>0</v>
      </c>
      <c r="AM15" t="s">
        <v>24</v>
      </c>
      <c r="AW15">
        <v>2</v>
      </c>
      <c r="BC15">
        <v>1</v>
      </c>
      <c r="BE15">
        <f t="shared" si="4"/>
        <v>3</v>
      </c>
      <c r="BI15" t="s">
        <v>23</v>
      </c>
      <c r="CE15">
        <f t="shared" si="5"/>
        <v>0</v>
      </c>
      <c r="CH15" t="s">
        <v>23</v>
      </c>
      <c r="DD15">
        <f t="shared" si="6"/>
        <v>0</v>
      </c>
      <c r="DI15" t="s">
        <v>23</v>
      </c>
      <c r="DP15">
        <v>3</v>
      </c>
      <c r="DQ15">
        <v>3</v>
      </c>
      <c r="DS15">
        <v>3</v>
      </c>
      <c r="DV15">
        <v>2</v>
      </c>
      <c r="EC15">
        <v>4</v>
      </c>
      <c r="ED15">
        <f t="shared" si="10"/>
        <v>15</v>
      </c>
      <c r="EG15" t="s">
        <v>21</v>
      </c>
      <c r="EQ15">
        <v>22</v>
      </c>
      <c r="FG15">
        <f t="shared" si="7"/>
        <v>22</v>
      </c>
      <c r="FJ15" t="s">
        <v>21</v>
      </c>
      <c r="FT15">
        <v>13</v>
      </c>
      <c r="FU15">
        <v>3</v>
      </c>
      <c r="GI15">
        <f t="shared" si="1"/>
        <v>16</v>
      </c>
      <c r="GL15" t="s">
        <v>21</v>
      </c>
      <c r="GV15">
        <v>28</v>
      </c>
      <c r="GW15">
        <v>2</v>
      </c>
      <c r="HJ15">
        <f t="shared" si="8"/>
        <v>30</v>
      </c>
      <c r="HM15" t="s">
        <v>23</v>
      </c>
      <c r="II15">
        <f t="shared" si="2"/>
        <v>0</v>
      </c>
      <c r="IL15" t="s">
        <v>35</v>
      </c>
      <c r="JF15">
        <f t="shared" si="9"/>
        <v>0</v>
      </c>
    </row>
    <row r="16" spans="1:266" ht="14.25" x14ac:dyDescent="0.45">
      <c r="B16" t="s">
        <v>26</v>
      </c>
      <c r="Q16">
        <f t="shared" si="0"/>
        <v>0</v>
      </c>
      <c r="T16" t="s">
        <v>26</v>
      </c>
      <c r="AJ16">
        <f t="shared" si="3"/>
        <v>0</v>
      </c>
      <c r="AM16" t="s">
        <v>31</v>
      </c>
      <c r="BE16">
        <f t="shared" si="4"/>
        <v>0</v>
      </c>
      <c r="BI16" t="s">
        <v>35</v>
      </c>
      <c r="CE16">
        <f t="shared" si="5"/>
        <v>0</v>
      </c>
      <c r="CH16" t="s">
        <v>35</v>
      </c>
      <c r="DD16">
        <f t="shared" si="6"/>
        <v>0</v>
      </c>
      <c r="DI16" t="s">
        <v>35</v>
      </c>
      <c r="ED16">
        <f t="shared" si="10"/>
        <v>0</v>
      </c>
      <c r="EG16" t="s">
        <v>22</v>
      </c>
      <c r="FG16">
        <f t="shared" si="7"/>
        <v>0</v>
      </c>
      <c r="FJ16" t="s">
        <v>22</v>
      </c>
      <c r="FU16">
        <v>17</v>
      </c>
      <c r="GI16">
        <f t="shared" si="1"/>
        <v>17</v>
      </c>
      <c r="GL16" t="s">
        <v>22</v>
      </c>
      <c r="GV16">
        <v>4</v>
      </c>
      <c r="GW16">
        <v>83</v>
      </c>
      <c r="GX16">
        <v>2</v>
      </c>
      <c r="GY16">
        <v>2</v>
      </c>
      <c r="HI16">
        <v>4</v>
      </c>
      <c r="HJ16">
        <f t="shared" si="8"/>
        <v>95</v>
      </c>
      <c r="HM16" t="s">
        <v>35</v>
      </c>
      <c r="II16">
        <f t="shared" si="2"/>
        <v>0</v>
      </c>
      <c r="IL16" t="s">
        <v>33</v>
      </c>
      <c r="JF16">
        <f t="shared" si="9"/>
        <v>0</v>
      </c>
    </row>
    <row r="17" spans="2:266" ht="14.25" x14ac:dyDescent="0.45">
      <c r="B17" t="s">
        <v>27</v>
      </c>
      <c r="Q17">
        <f t="shared" si="0"/>
        <v>0</v>
      </c>
      <c r="T17" t="s">
        <v>27</v>
      </c>
      <c r="AJ17">
        <f t="shared" si="3"/>
        <v>0</v>
      </c>
      <c r="AM17" t="s">
        <v>26</v>
      </c>
      <c r="BE17">
        <f t="shared" si="4"/>
        <v>0</v>
      </c>
      <c r="BI17" t="s">
        <v>33</v>
      </c>
      <c r="CE17">
        <f t="shared" si="5"/>
        <v>0</v>
      </c>
      <c r="CH17" t="s">
        <v>33</v>
      </c>
      <c r="DD17">
        <f t="shared" si="6"/>
        <v>0</v>
      </c>
      <c r="DI17" t="s">
        <v>33</v>
      </c>
      <c r="DZ17">
        <v>1</v>
      </c>
      <c r="ED17">
        <f t="shared" si="10"/>
        <v>1</v>
      </c>
      <c r="EG17" t="s">
        <v>23</v>
      </c>
      <c r="FG17">
        <f t="shared" si="7"/>
        <v>0</v>
      </c>
      <c r="FJ17" t="s">
        <v>23</v>
      </c>
      <c r="GI17">
        <f t="shared" si="1"/>
        <v>0</v>
      </c>
      <c r="GL17" t="s">
        <v>23</v>
      </c>
      <c r="HJ17">
        <f t="shared" si="8"/>
        <v>0</v>
      </c>
      <c r="HM17" t="s">
        <v>33</v>
      </c>
      <c r="II17">
        <f t="shared" si="2"/>
        <v>0</v>
      </c>
      <c r="IL17" t="s">
        <v>25</v>
      </c>
      <c r="IO17">
        <v>23</v>
      </c>
      <c r="IQ17">
        <v>1</v>
      </c>
      <c r="IS17">
        <v>22</v>
      </c>
      <c r="IT17">
        <v>9</v>
      </c>
      <c r="IU17">
        <v>16</v>
      </c>
      <c r="IX17">
        <v>1</v>
      </c>
      <c r="IY17">
        <v>3</v>
      </c>
      <c r="IZ17">
        <v>6</v>
      </c>
      <c r="JD17">
        <v>30</v>
      </c>
      <c r="JE17">
        <v>117</v>
      </c>
      <c r="JF17">
        <f t="shared" si="9"/>
        <v>228</v>
      </c>
    </row>
    <row r="18" spans="2:266" ht="14.25" x14ac:dyDescent="0.45">
      <c r="B18" t="s">
        <v>28</v>
      </c>
      <c r="Q18">
        <f t="shared" si="0"/>
        <v>0</v>
      </c>
      <c r="T18" t="s">
        <v>28</v>
      </c>
      <c r="AJ18">
        <f t="shared" si="3"/>
        <v>0</v>
      </c>
      <c r="AM18" t="s">
        <v>27</v>
      </c>
      <c r="BE18">
        <f t="shared" si="4"/>
        <v>0</v>
      </c>
      <c r="BI18" t="s">
        <v>25</v>
      </c>
      <c r="BK18">
        <v>2</v>
      </c>
      <c r="BQ18">
        <v>4</v>
      </c>
      <c r="BR18">
        <v>3</v>
      </c>
      <c r="BV18">
        <v>1</v>
      </c>
      <c r="CB18">
        <v>1</v>
      </c>
      <c r="CC18">
        <v>4</v>
      </c>
      <c r="CE18">
        <f t="shared" si="5"/>
        <v>15</v>
      </c>
      <c r="CH18" t="s">
        <v>25</v>
      </c>
      <c r="CK18">
        <v>5</v>
      </c>
      <c r="DA18">
        <v>7</v>
      </c>
      <c r="DC18">
        <v>1</v>
      </c>
      <c r="DD18">
        <f t="shared" si="6"/>
        <v>13</v>
      </c>
      <c r="DI18" t="s">
        <v>25</v>
      </c>
      <c r="DK18">
        <v>15</v>
      </c>
      <c r="DO18">
        <v>2</v>
      </c>
      <c r="DQ18">
        <v>3</v>
      </c>
      <c r="DR18">
        <v>1</v>
      </c>
      <c r="DS18">
        <v>3</v>
      </c>
      <c r="DX18">
        <v>1</v>
      </c>
      <c r="DZ18">
        <v>4</v>
      </c>
      <c r="EB18">
        <v>1</v>
      </c>
      <c r="EC18">
        <v>44</v>
      </c>
      <c r="ED18">
        <f t="shared" si="10"/>
        <v>74</v>
      </c>
      <c r="EG18" t="s">
        <v>35</v>
      </c>
      <c r="FG18">
        <f t="shared" si="7"/>
        <v>0</v>
      </c>
      <c r="FJ18" t="s">
        <v>35</v>
      </c>
      <c r="GI18">
        <f t="shared" si="1"/>
        <v>0</v>
      </c>
      <c r="GL18" t="s">
        <v>35</v>
      </c>
      <c r="HJ18">
        <f t="shared" si="8"/>
        <v>0</v>
      </c>
      <c r="HM18" t="s">
        <v>25</v>
      </c>
      <c r="HP18">
        <v>10</v>
      </c>
      <c r="HR18">
        <v>1</v>
      </c>
      <c r="HT18">
        <v>1</v>
      </c>
      <c r="HU18">
        <v>9</v>
      </c>
      <c r="HV18">
        <v>5</v>
      </c>
      <c r="HY18">
        <v>5</v>
      </c>
      <c r="HZ18">
        <v>1</v>
      </c>
      <c r="IA18">
        <v>1</v>
      </c>
      <c r="IC18">
        <v>1</v>
      </c>
      <c r="ID18">
        <v>2</v>
      </c>
      <c r="IF18">
        <v>1</v>
      </c>
      <c r="IG18">
        <v>41</v>
      </c>
      <c r="II18">
        <f t="shared" si="2"/>
        <v>78</v>
      </c>
      <c r="IL18" t="s">
        <v>24</v>
      </c>
      <c r="IY18">
        <v>3</v>
      </c>
      <c r="JF18">
        <f t="shared" si="9"/>
        <v>3</v>
      </c>
    </row>
    <row r="19" spans="2:266" ht="14.25" x14ac:dyDescent="0.45">
      <c r="B19" t="s">
        <v>29</v>
      </c>
      <c r="Q19">
        <f t="shared" si="0"/>
        <v>0</v>
      </c>
      <c r="T19" t="s">
        <v>29</v>
      </c>
      <c r="AJ19">
        <f t="shared" si="3"/>
        <v>0</v>
      </c>
      <c r="AM19" t="s">
        <v>28</v>
      </c>
      <c r="BE19">
        <f t="shared" si="4"/>
        <v>0</v>
      </c>
      <c r="BI19" t="s">
        <v>24</v>
      </c>
      <c r="BW19">
        <v>34</v>
      </c>
      <c r="CE19">
        <f t="shared" si="5"/>
        <v>34</v>
      </c>
      <c r="CH19" t="s">
        <v>24</v>
      </c>
      <c r="CV19">
        <v>9</v>
      </c>
      <c r="DD19">
        <f t="shared" si="6"/>
        <v>9</v>
      </c>
      <c r="DI19" t="s">
        <v>24</v>
      </c>
      <c r="DW19">
        <v>4</v>
      </c>
      <c r="ED19">
        <f t="shared" si="10"/>
        <v>4</v>
      </c>
      <c r="EG19" t="s">
        <v>33</v>
      </c>
      <c r="EU19">
        <v>1</v>
      </c>
      <c r="FE19">
        <v>1</v>
      </c>
      <c r="FG19">
        <f t="shared" si="7"/>
        <v>2</v>
      </c>
      <c r="FJ19" t="s">
        <v>33</v>
      </c>
      <c r="GI19">
        <f t="shared" si="1"/>
        <v>0</v>
      </c>
      <c r="GL19" t="s">
        <v>33</v>
      </c>
      <c r="HJ19">
        <f t="shared" si="8"/>
        <v>0</v>
      </c>
      <c r="HM19" t="s">
        <v>24</v>
      </c>
      <c r="IA19">
        <v>15</v>
      </c>
      <c r="II19">
        <f t="shared" si="2"/>
        <v>15</v>
      </c>
      <c r="IL19" t="s">
        <v>31</v>
      </c>
      <c r="IZ19">
        <v>1</v>
      </c>
      <c r="JF19">
        <f t="shared" si="9"/>
        <v>1</v>
      </c>
    </row>
    <row r="20" spans="2:266" ht="14.25" x14ac:dyDescent="0.45">
      <c r="T20" t="s">
        <v>41</v>
      </c>
      <c r="AJ20">
        <f t="shared" si="3"/>
        <v>0</v>
      </c>
      <c r="AM20" t="s">
        <v>34</v>
      </c>
      <c r="BE20">
        <f t="shared" si="4"/>
        <v>0</v>
      </c>
      <c r="BI20" t="s">
        <v>31</v>
      </c>
      <c r="BX20">
        <v>1</v>
      </c>
      <c r="CE20">
        <f t="shared" si="5"/>
        <v>1</v>
      </c>
      <c r="CH20" t="s">
        <v>31</v>
      </c>
      <c r="CP20">
        <v>2</v>
      </c>
      <c r="CQ20">
        <v>2</v>
      </c>
      <c r="CW20">
        <v>29</v>
      </c>
      <c r="DA20">
        <v>1</v>
      </c>
      <c r="DD20">
        <f t="shared" si="6"/>
        <v>34</v>
      </c>
      <c r="DI20" t="s">
        <v>31</v>
      </c>
      <c r="DX20">
        <v>6</v>
      </c>
      <c r="DY20">
        <v>2</v>
      </c>
      <c r="DZ20">
        <v>1</v>
      </c>
      <c r="ED20">
        <f t="shared" si="10"/>
        <v>9</v>
      </c>
      <c r="EG20" t="s">
        <v>25</v>
      </c>
      <c r="EN20">
        <v>1</v>
      </c>
      <c r="EQ20">
        <v>2</v>
      </c>
      <c r="FB20">
        <v>1</v>
      </c>
      <c r="FE20">
        <v>2</v>
      </c>
      <c r="FG20">
        <f t="shared" si="7"/>
        <v>6</v>
      </c>
      <c r="FJ20" t="s">
        <v>25</v>
      </c>
      <c r="FM20">
        <v>1</v>
      </c>
      <c r="GD20">
        <v>2</v>
      </c>
      <c r="GG20">
        <v>3</v>
      </c>
      <c r="GI20">
        <f t="shared" si="1"/>
        <v>6</v>
      </c>
      <c r="GL20" t="s">
        <v>25</v>
      </c>
      <c r="GW20">
        <v>1</v>
      </c>
      <c r="HI20">
        <v>2</v>
      </c>
      <c r="HJ20">
        <f t="shared" si="8"/>
        <v>3</v>
      </c>
      <c r="HM20" t="s">
        <v>31</v>
      </c>
      <c r="IB20">
        <v>7</v>
      </c>
      <c r="ID20">
        <v>2</v>
      </c>
      <c r="II20">
        <f t="shared" si="2"/>
        <v>9</v>
      </c>
      <c r="IL20" t="s">
        <v>26</v>
      </c>
      <c r="IX20">
        <v>1</v>
      </c>
      <c r="JA20">
        <v>5</v>
      </c>
      <c r="JE20">
        <v>1</v>
      </c>
      <c r="JF20">
        <f t="shared" si="9"/>
        <v>7</v>
      </c>
    </row>
    <row r="21" spans="2:266" ht="14.25" x14ac:dyDescent="0.45">
      <c r="AM21" t="s">
        <v>29</v>
      </c>
      <c r="AP21">
        <v>1</v>
      </c>
      <c r="AR21">
        <v>1</v>
      </c>
      <c r="BB21">
        <v>1</v>
      </c>
      <c r="BC21">
        <v>4</v>
      </c>
      <c r="BE21">
        <f t="shared" si="4"/>
        <v>7</v>
      </c>
      <c r="BI21" t="s">
        <v>26</v>
      </c>
      <c r="BR21">
        <v>4</v>
      </c>
      <c r="CE21">
        <f t="shared" si="5"/>
        <v>4</v>
      </c>
      <c r="CH21" t="s">
        <v>26</v>
      </c>
      <c r="CJ21">
        <v>1</v>
      </c>
      <c r="CP21">
        <v>2</v>
      </c>
      <c r="CT21">
        <v>1</v>
      </c>
      <c r="CX21">
        <v>39</v>
      </c>
      <c r="DA21">
        <v>1</v>
      </c>
      <c r="DD21">
        <f t="shared" si="6"/>
        <v>44</v>
      </c>
      <c r="DI21" t="s">
        <v>26</v>
      </c>
      <c r="DR21">
        <v>1</v>
      </c>
      <c r="DY21">
        <v>55</v>
      </c>
      <c r="EC21">
        <v>2</v>
      </c>
      <c r="ED21">
        <f t="shared" si="10"/>
        <v>58</v>
      </c>
      <c r="EG21" t="s">
        <v>24</v>
      </c>
      <c r="EW21">
        <v>10</v>
      </c>
      <c r="FG21">
        <f t="shared" si="7"/>
        <v>10</v>
      </c>
      <c r="FJ21" t="s">
        <v>24</v>
      </c>
      <c r="FZ21">
        <v>12</v>
      </c>
      <c r="GI21">
        <f t="shared" si="1"/>
        <v>12</v>
      </c>
      <c r="GL21" t="s">
        <v>24</v>
      </c>
      <c r="HB21">
        <v>40</v>
      </c>
      <c r="HJ21">
        <f t="shared" si="8"/>
        <v>40</v>
      </c>
      <c r="HM21" t="s">
        <v>26</v>
      </c>
      <c r="HU21">
        <v>1</v>
      </c>
      <c r="IC21">
        <v>49</v>
      </c>
      <c r="II21">
        <f t="shared" si="2"/>
        <v>50</v>
      </c>
      <c r="IL21" t="s">
        <v>138</v>
      </c>
      <c r="JF21">
        <f t="shared" si="9"/>
        <v>0</v>
      </c>
    </row>
    <row r="22" spans="2:266" ht="14.25" x14ac:dyDescent="0.45">
      <c r="AM22" t="s">
        <v>43</v>
      </c>
      <c r="BE22">
        <f t="shared" si="4"/>
        <v>0</v>
      </c>
      <c r="BI22" t="s">
        <v>27</v>
      </c>
      <c r="CE22">
        <f t="shared" si="5"/>
        <v>0</v>
      </c>
      <c r="CH22" t="s">
        <v>27</v>
      </c>
      <c r="DD22">
        <f t="shared" si="6"/>
        <v>0</v>
      </c>
      <c r="DI22" t="s">
        <v>27</v>
      </c>
      <c r="ED22">
        <f t="shared" si="10"/>
        <v>0</v>
      </c>
      <c r="EG22" t="s">
        <v>31</v>
      </c>
      <c r="EX22">
        <v>34</v>
      </c>
      <c r="EY22">
        <v>1</v>
      </c>
      <c r="FG22">
        <f t="shared" si="7"/>
        <v>35</v>
      </c>
      <c r="FJ22" t="s">
        <v>31</v>
      </c>
      <c r="GI22">
        <f t="shared" si="1"/>
        <v>0</v>
      </c>
      <c r="GL22" t="s">
        <v>31</v>
      </c>
      <c r="HC22">
        <v>2</v>
      </c>
      <c r="HI22">
        <v>1</v>
      </c>
      <c r="HJ22">
        <f t="shared" si="8"/>
        <v>3</v>
      </c>
      <c r="HM22" t="s">
        <v>27</v>
      </c>
      <c r="II22">
        <f t="shared" si="2"/>
        <v>0</v>
      </c>
      <c r="IL22" t="s">
        <v>43</v>
      </c>
      <c r="JF22">
        <f t="shared" si="9"/>
        <v>0</v>
      </c>
    </row>
    <row r="23" spans="2:266" ht="14.25" x14ac:dyDescent="0.45">
      <c r="BI23" t="s">
        <v>28</v>
      </c>
      <c r="CE23">
        <f t="shared" si="5"/>
        <v>0</v>
      </c>
      <c r="CH23" t="s">
        <v>28</v>
      </c>
      <c r="DD23">
        <f t="shared" si="6"/>
        <v>0</v>
      </c>
      <c r="DI23" t="s">
        <v>28</v>
      </c>
      <c r="ED23">
        <f t="shared" si="10"/>
        <v>0</v>
      </c>
      <c r="EG23" t="s">
        <v>26</v>
      </c>
      <c r="EY23">
        <v>55</v>
      </c>
      <c r="FE23">
        <v>1</v>
      </c>
      <c r="FG23">
        <f t="shared" si="7"/>
        <v>56</v>
      </c>
      <c r="FJ23" t="s">
        <v>26</v>
      </c>
      <c r="GB23">
        <v>9</v>
      </c>
      <c r="GG23">
        <v>2</v>
      </c>
      <c r="GI23">
        <f t="shared" si="1"/>
        <v>11</v>
      </c>
      <c r="GL23" t="s">
        <v>26</v>
      </c>
      <c r="HD23">
        <v>25</v>
      </c>
      <c r="HJ23">
        <f t="shared" si="8"/>
        <v>25</v>
      </c>
      <c r="HM23" t="s">
        <v>28</v>
      </c>
      <c r="II23">
        <f t="shared" si="2"/>
        <v>0</v>
      </c>
      <c r="IL23" t="s">
        <v>27</v>
      </c>
      <c r="JF23">
        <f t="shared" si="9"/>
        <v>0</v>
      </c>
    </row>
    <row r="24" spans="2:266" ht="14.25" x14ac:dyDescent="0.45">
      <c r="BI24" t="s">
        <v>34</v>
      </c>
      <c r="CE24">
        <f t="shared" si="5"/>
        <v>0</v>
      </c>
      <c r="CH24" t="s">
        <v>29</v>
      </c>
      <c r="CP24">
        <v>1</v>
      </c>
      <c r="CW24">
        <v>1</v>
      </c>
      <c r="CX24">
        <v>8</v>
      </c>
      <c r="CY24">
        <v>3</v>
      </c>
      <c r="DD24">
        <f t="shared" si="6"/>
        <v>13</v>
      </c>
      <c r="DI24" t="s">
        <v>34</v>
      </c>
      <c r="ED24">
        <f t="shared" si="10"/>
        <v>0</v>
      </c>
      <c r="EG24" t="s">
        <v>138</v>
      </c>
      <c r="FG24">
        <f t="shared" si="7"/>
        <v>0</v>
      </c>
      <c r="FJ24" t="s">
        <v>43</v>
      </c>
      <c r="GI24">
        <f t="shared" si="1"/>
        <v>0</v>
      </c>
      <c r="GL24" t="s">
        <v>43</v>
      </c>
      <c r="HJ24">
        <f t="shared" si="8"/>
        <v>0</v>
      </c>
      <c r="HM24" t="s">
        <v>34</v>
      </c>
      <c r="II24">
        <f t="shared" si="2"/>
        <v>0</v>
      </c>
      <c r="IL24" t="s">
        <v>29</v>
      </c>
      <c r="IS24">
        <v>1</v>
      </c>
      <c r="IX24">
        <v>1</v>
      </c>
      <c r="IZ24">
        <v>1</v>
      </c>
      <c r="JA24">
        <v>2</v>
      </c>
      <c r="JE24">
        <v>2</v>
      </c>
      <c r="JF24">
        <f t="shared" si="9"/>
        <v>7</v>
      </c>
    </row>
    <row r="25" spans="2:266" ht="14.25" x14ac:dyDescent="0.45">
      <c r="BI25" t="s">
        <v>29</v>
      </c>
      <c r="BR25">
        <v>5</v>
      </c>
      <c r="BS25">
        <v>2</v>
      </c>
      <c r="BT25">
        <v>1</v>
      </c>
      <c r="BY25">
        <v>1</v>
      </c>
      <c r="BZ25">
        <v>2</v>
      </c>
      <c r="CC25">
        <v>12</v>
      </c>
      <c r="CE25">
        <f t="shared" si="5"/>
        <v>23</v>
      </c>
      <c r="CH25" t="s">
        <v>39</v>
      </c>
      <c r="DD25">
        <f t="shared" si="6"/>
        <v>0</v>
      </c>
      <c r="DI25" t="s">
        <v>29</v>
      </c>
      <c r="DQ25">
        <v>1</v>
      </c>
      <c r="DR25">
        <v>1</v>
      </c>
      <c r="DX25">
        <v>1</v>
      </c>
      <c r="DY25">
        <v>3</v>
      </c>
      <c r="DZ25">
        <v>2</v>
      </c>
      <c r="EC25">
        <v>1</v>
      </c>
      <c r="ED25">
        <f t="shared" si="10"/>
        <v>9</v>
      </c>
      <c r="EG25" t="s">
        <v>43</v>
      </c>
      <c r="FG25">
        <f t="shared" si="7"/>
        <v>0</v>
      </c>
      <c r="FJ25" t="s">
        <v>27</v>
      </c>
      <c r="GI25">
        <f t="shared" si="1"/>
        <v>0</v>
      </c>
      <c r="GL25" t="s">
        <v>27</v>
      </c>
      <c r="HJ25">
        <f t="shared" si="8"/>
        <v>0</v>
      </c>
      <c r="HM25" t="s">
        <v>29</v>
      </c>
      <c r="HO25">
        <v>2</v>
      </c>
      <c r="HR25">
        <v>1</v>
      </c>
      <c r="HT25">
        <v>1</v>
      </c>
      <c r="HU25">
        <v>2</v>
      </c>
      <c r="HW25">
        <v>1</v>
      </c>
      <c r="HX25">
        <v>1</v>
      </c>
      <c r="HZ25">
        <v>2</v>
      </c>
      <c r="IB25">
        <v>1</v>
      </c>
      <c r="IC25">
        <v>4</v>
      </c>
      <c r="IE25">
        <v>1</v>
      </c>
      <c r="IG25">
        <v>3</v>
      </c>
      <c r="II25">
        <f t="shared" si="2"/>
        <v>19</v>
      </c>
    </row>
    <row r="26" spans="2:266" ht="14.25" x14ac:dyDescent="0.45">
      <c r="BI26" t="s">
        <v>42</v>
      </c>
      <c r="CE26">
        <f t="shared" si="5"/>
        <v>0</v>
      </c>
      <c r="CH26" t="s">
        <v>34</v>
      </c>
      <c r="DD26">
        <f t="shared" si="6"/>
        <v>0</v>
      </c>
      <c r="EG26" t="s">
        <v>27</v>
      </c>
      <c r="FG26">
        <f t="shared" si="7"/>
        <v>0</v>
      </c>
      <c r="FJ26" t="s">
        <v>28</v>
      </c>
      <c r="GI26">
        <f t="shared" si="1"/>
        <v>0</v>
      </c>
      <c r="GL26" t="s">
        <v>28</v>
      </c>
      <c r="HJ26">
        <f t="shared" si="8"/>
        <v>0</v>
      </c>
      <c r="HM26" t="s">
        <v>43</v>
      </c>
      <c r="II26">
        <f t="shared" si="2"/>
        <v>0</v>
      </c>
    </row>
    <row r="27" spans="2:266" ht="15" customHeight="1" x14ac:dyDescent="0.45">
      <c r="EG27" t="s">
        <v>28</v>
      </c>
      <c r="FG27">
        <f t="shared" si="7"/>
        <v>0</v>
      </c>
      <c r="FJ27" t="s">
        <v>34</v>
      </c>
      <c r="GI27">
        <f t="shared" si="1"/>
        <v>0</v>
      </c>
      <c r="GL27" t="s">
        <v>34</v>
      </c>
      <c r="HJ27">
        <f t="shared" si="8"/>
        <v>0</v>
      </c>
    </row>
    <row r="28" spans="2:266" ht="15" customHeight="1" x14ac:dyDescent="0.45">
      <c r="EG28" t="s">
        <v>34</v>
      </c>
      <c r="FG28">
        <f t="shared" si="7"/>
        <v>0</v>
      </c>
      <c r="FJ28" t="s">
        <v>29</v>
      </c>
      <c r="FT28">
        <v>3</v>
      </c>
      <c r="FV28">
        <v>3</v>
      </c>
      <c r="FX28">
        <v>1</v>
      </c>
      <c r="GB28">
        <v>2</v>
      </c>
      <c r="GD28">
        <v>1</v>
      </c>
      <c r="GG28">
        <v>5</v>
      </c>
      <c r="GI28">
        <f t="shared" si="1"/>
        <v>15</v>
      </c>
      <c r="GL28" t="s">
        <v>29</v>
      </c>
      <c r="GO28">
        <v>4</v>
      </c>
      <c r="GQ28">
        <v>1</v>
      </c>
      <c r="GT28">
        <v>1</v>
      </c>
      <c r="GV28">
        <v>5</v>
      </c>
      <c r="GW28">
        <v>4</v>
      </c>
      <c r="GX28">
        <v>4</v>
      </c>
      <c r="GY28">
        <v>11</v>
      </c>
      <c r="HA28">
        <v>2</v>
      </c>
      <c r="HB28">
        <v>3</v>
      </c>
      <c r="HD28">
        <v>9</v>
      </c>
      <c r="HI28">
        <v>9</v>
      </c>
      <c r="HJ28">
        <f t="shared" si="8"/>
        <v>53</v>
      </c>
    </row>
    <row r="29" spans="2:266" ht="15" customHeight="1" x14ac:dyDescent="0.45">
      <c r="EG29" t="s">
        <v>29</v>
      </c>
      <c r="EI29">
        <v>1</v>
      </c>
      <c r="ER29">
        <v>1</v>
      </c>
      <c r="ES29">
        <v>1</v>
      </c>
      <c r="ET29">
        <v>1</v>
      </c>
      <c r="EY29">
        <v>2</v>
      </c>
      <c r="FE29">
        <v>2</v>
      </c>
      <c r="FG29">
        <f t="shared" si="7"/>
        <v>8</v>
      </c>
      <c r="FJ29" t="s">
        <v>42</v>
      </c>
      <c r="GI29">
        <f t="shared" si="1"/>
        <v>0</v>
      </c>
    </row>
    <row r="30" spans="2:266" ht="15" customHeight="1" x14ac:dyDescent="0.45">
      <c r="EG30" t="s">
        <v>42</v>
      </c>
      <c r="FG30">
        <f t="shared" si="7"/>
        <v>0</v>
      </c>
    </row>
    <row r="33" spans="142:142" ht="15" customHeight="1" x14ac:dyDescent="0.45">
      <c r="EL33" t="s">
        <v>139</v>
      </c>
    </row>
    <row r="34" spans="142:142" ht="15" customHeight="1" x14ac:dyDescent="0.45">
      <c r="EL34" t="s">
        <v>140</v>
      </c>
    </row>
    <row r="35" spans="142:142" ht="15" customHeight="1" x14ac:dyDescent="0.45">
      <c r="EL35" t="s">
        <v>141</v>
      </c>
    </row>
    <row r="36" spans="142:142" ht="15" customHeight="1" x14ac:dyDescent="0.45">
      <c r="EL36" t="s">
        <v>142</v>
      </c>
    </row>
    <row r="37" spans="142:142" ht="15" customHeight="1" x14ac:dyDescent="0.45">
      <c r="EL37" t="s">
        <v>143</v>
      </c>
    </row>
  </sheetData>
  <mergeCells count="11">
    <mergeCell ref="EJ4:EK4"/>
    <mergeCell ref="FL4:FM4"/>
    <mergeCell ref="HO4:HP4"/>
    <mergeCell ref="IN4:IO4"/>
    <mergeCell ref="A6:A7"/>
    <mergeCell ref="E4:H4"/>
    <mergeCell ref="V4:W4"/>
    <mergeCell ref="AO4:AP4"/>
    <mergeCell ref="BM4:BN4"/>
    <mergeCell ref="CM4:CO4"/>
    <mergeCell ref="DL4:DM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4190-305B-4DE0-B5FA-98CDC41857D9}">
  <dimension ref="A1:U13"/>
  <sheetViews>
    <sheetView topLeftCell="D1" workbookViewId="0">
      <selection activeCell="J24" sqref="J24"/>
    </sheetView>
  </sheetViews>
  <sheetFormatPr defaultRowHeight="14.25" x14ac:dyDescent="0.45"/>
  <sheetData>
    <row r="1" spans="1:21" x14ac:dyDescent="0.45">
      <c r="A1" t="s">
        <v>44</v>
      </c>
    </row>
    <row r="3" spans="1:21" x14ac:dyDescent="0.45">
      <c r="A3" t="s">
        <v>1</v>
      </c>
      <c r="C3" t="s">
        <v>2</v>
      </c>
      <c r="E3" t="s">
        <v>3</v>
      </c>
      <c r="G3" t="s">
        <v>4</v>
      </c>
      <c r="I3" t="s">
        <v>5</v>
      </c>
      <c r="K3" t="s">
        <v>6</v>
      </c>
      <c r="M3" t="s">
        <v>7</v>
      </c>
      <c r="O3" t="s">
        <v>8</v>
      </c>
      <c r="Q3" t="s">
        <v>9</v>
      </c>
      <c r="S3" t="s">
        <v>10</v>
      </c>
      <c r="U3" t="s">
        <v>11</v>
      </c>
    </row>
    <row r="4" spans="1:21" x14ac:dyDescent="0.45">
      <c r="A4" t="s">
        <v>144</v>
      </c>
      <c r="C4" t="s">
        <v>217</v>
      </c>
      <c r="E4" t="s">
        <v>218</v>
      </c>
      <c r="G4" t="s">
        <v>219</v>
      </c>
      <c r="I4" t="s">
        <v>220</v>
      </c>
      <c r="K4" t="s">
        <v>221</v>
      </c>
      <c r="M4" t="s">
        <v>222</v>
      </c>
      <c r="O4" t="s">
        <v>223</v>
      </c>
      <c r="Q4" t="s">
        <v>144</v>
      </c>
      <c r="S4" t="s">
        <v>224</v>
      </c>
      <c r="U4" t="s">
        <v>225</v>
      </c>
    </row>
    <row r="5" spans="1:21" x14ac:dyDescent="0.45">
      <c r="G5" t="s">
        <v>226</v>
      </c>
      <c r="U5" t="s">
        <v>227</v>
      </c>
    </row>
    <row r="6" spans="1:21" x14ac:dyDescent="0.45">
      <c r="U6" t="s">
        <v>228</v>
      </c>
    </row>
    <row r="7" spans="1:21" x14ac:dyDescent="0.45">
      <c r="U7" t="s">
        <v>97</v>
      </c>
    </row>
    <row r="8" spans="1:21" x14ac:dyDescent="0.45">
      <c r="U8" t="s">
        <v>63</v>
      </c>
    </row>
    <row r="9" spans="1:21" x14ac:dyDescent="0.45">
      <c r="U9" t="s">
        <v>208</v>
      </c>
    </row>
    <row r="10" spans="1:21" x14ac:dyDescent="0.45">
      <c r="U10" t="s">
        <v>229</v>
      </c>
    </row>
    <row r="11" spans="1:21" x14ac:dyDescent="0.45">
      <c r="U11" t="s">
        <v>204</v>
      </c>
    </row>
    <row r="12" spans="1:21" x14ac:dyDescent="0.45">
      <c r="U12" t="s">
        <v>63</v>
      </c>
    </row>
    <row r="13" spans="1:21" x14ac:dyDescent="0.45">
      <c r="U13" t="s">
        <v>230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C304E-1982-4218-A6C7-FAD4E6454C3E}">
  <dimension ref="A1:JI37"/>
  <sheetViews>
    <sheetView tabSelected="1" topLeftCell="HA1" zoomScale="80" zoomScaleNormal="80" workbookViewId="0">
      <selection activeCell="FG22" sqref="FG22"/>
    </sheetView>
  </sheetViews>
  <sheetFormatPr defaultRowHeight="15" customHeight="1" x14ac:dyDescent="0.45"/>
  <cols>
    <col min="1" max="1" width="5.73046875" bestFit="1" customWidth="1"/>
    <col min="2" max="2" width="13.86328125" bestFit="1" customWidth="1"/>
    <col min="3" max="3" width="7.1328125" bestFit="1" customWidth="1"/>
    <col min="4" max="4" width="4.73046875" bestFit="1" customWidth="1"/>
    <col min="5" max="5" width="5.1328125" bestFit="1" customWidth="1"/>
    <col min="6" max="6" width="7.265625" bestFit="1" customWidth="1"/>
    <col min="7" max="7" width="6.73046875" bestFit="1" customWidth="1"/>
    <col min="8" max="8" width="7.265625" bestFit="1" customWidth="1"/>
    <col min="9" max="9" width="5.265625" bestFit="1" customWidth="1"/>
    <col min="10" max="10" width="4.59765625" bestFit="1" customWidth="1"/>
    <col min="11" max="11" width="7.1328125" bestFit="1" customWidth="1"/>
    <col min="12" max="12" width="12.86328125" bestFit="1" customWidth="1"/>
    <col min="13" max="13" width="8.59765625" bestFit="1" customWidth="1"/>
    <col min="14" max="14" width="7.3984375" bestFit="1" customWidth="1"/>
    <col min="15" max="15" width="6.265625" bestFit="1" customWidth="1"/>
    <col min="16" max="16" width="12" bestFit="1" customWidth="1"/>
    <col min="17" max="17" width="5.59765625" bestFit="1" customWidth="1"/>
    <col min="18" max="18" width="8" customWidth="1"/>
    <col min="19" max="19" width="5.73046875" bestFit="1" customWidth="1"/>
    <col min="20" max="20" width="14.265625" bestFit="1" customWidth="1"/>
    <col min="21" max="21" width="4.73046875" bestFit="1" customWidth="1"/>
    <col min="22" max="22" width="5.1328125" bestFit="1" customWidth="1"/>
    <col min="23" max="23" width="7.265625" bestFit="1" customWidth="1"/>
    <col min="24" max="24" width="6.73046875" bestFit="1" customWidth="1"/>
    <col min="25" max="25" width="7.265625" bestFit="1" customWidth="1"/>
    <col min="26" max="26" width="5.265625" bestFit="1" customWidth="1"/>
    <col min="27" max="27" width="4.59765625" bestFit="1" customWidth="1"/>
    <col min="28" max="28" width="12.86328125" bestFit="1" customWidth="1"/>
    <col min="29" max="29" width="7.1328125" bestFit="1" customWidth="1"/>
    <col min="30" max="30" width="6.86328125" bestFit="1" customWidth="1"/>
    <col min="31" max="31" width="8.59765625" bestFit="1" customWidth="1"/>
    <col min="32" max="32" width="7.3984375" bestFit="1" customWidth="1"/>
    <col min="33" max="33" width="6.265625" bestFit="1" customWidth="1"/>
    <col min="34" max="34" width="7.86328125" bestFit="1" customWidth="1"/>
    <col min="35" max="35" width="12" bestFit="1" customWidth="1"/>
    <col min="36" max="36" width="9.59765625" bestFit="1" customWidth="1"/>
    <col min="37" max="37" width="5.59765625" bestFit="1" customWidth="1"/>
    <col min="38" max="38" width="4.86328125" customWidth="1"/>
    <col min="39" max="39" width="5.73046875" bestFit="1" customWidth="1"/>
    <col min="40" max="40" width="14.265625" bestFit="1" customWidth="1"/>
    <col min="41" max="41" width="4.73046875" bestFit="1" customWidth="1"/>
    <col min="42" max="42" width="5.1328125" bestFit="1" customWidth="1"/>
    <col min="43" max="43" width="7.265625" bestFit="1" customWidth="1"/>
    <col min="44" max="44" width="6.73046875" bestFit="1" customWidth="1"/>
    <col min="45" max="45" width="7.265625" bestFit="1" customWidth="1"/>
    <col min="46" max="46" width="5" bestFit="1" customWidth="1"/>
    <col min="47" max="47" width="7.265625" bestFit="1" customWidth="1"/>
    <col min="48" max="48" width="5.265625" bestFit="1" customWidth="1"/>
    <col min="49" max="49" width="4.59765625" bestFit="1" customWidth="1"/>
    <col min="50" max="50" width="9.265625" bestFit="1" customWidth="1"/>
    <col min="51" max="51" width="12.86328125" bestFit="1" customWidth="1"/>
    <col min="52" max="52" width="7.1328125" bestFit="1" customWidth="1"/>
    <col min="53" max="53" width="6.86328125" bestFit="1" customWidth="1"/>
    <col min="54" max="54" width="8.59765625" bestFit="1" customWidth="1"/>
    <col min="55" max="55" width="7.3984375" bestFit="1" customWidth="1"/>
    <col min="56" max="56" width="6.265625" bestFit="1" customWidth="1"/>
    <col min="57" max="57" width="7.86328125" bestFit="1" customWidth="1"/>
    <col min="58" max="58" width="12" bestFit="1" customWidth="1"/>
    <col min="59" max="59" width="5.59765625" customWidth="1"/>
    <col min="60" max="60" width="9.265625" customWidth="1"/>
    <col min="63" max="63" width="14.265625" bestFit="1" customWidth="1"/>
    <col min="64" max="64" width="14.265625" customWidth="1"/>
    <col min="65" max="65" width="7.1328125" bestFit="1" customWidth="1"/>
    <col min="66" max="66" width="4.73046875" bestFit="1" customWidth="1"/>
    <col min="67" max="67" width="5.1328125" bestFit="1" customWidth="1"/>
    <col min="68" max="68" width="7.265625" bestFit="1" customWidth="1"/>
    <col min="69" max="69" width="6.73046875" bestFit="1" customWidth="1"/>
    <col min="70" max="71" width="6.73046875" customWidth="1"/>
    <col min="72" max="72" width="7.265625" bestFit="1" customWidth="1"/>
    <col min="73" max="73" width="5.265625" bestFit="1" customWidth="1"/>
    <col min="74" max="74" width="4.59765625" bestFit="1" customWidth="1"/>
    <col min="75" max="75" width="4.1328125" bestFit="1" customWidth="1"/>
    <col min="76" max="76" width="9.59765625" bestFit="1" customWidth="1"/>
    <col min="77" max="77" width="12.86328125" bestFit="1" customWidth="1"/>
    <col min="78" max="78" width="7.1328125" bestFit="1" customWidth="1"/>
    <col min="79" max="79" width="6.86328125" bestFit="1" customWidth="1"/>
    <col min="80" max="80" width="8.59765625" bestFit="1" customWidth="1"/>
    <col min="81" max="81" width="7.3984375" bestFit="1" customWidth="1"/>
    <col min="82" max="82" width="6.265625" bestFit="1" customWidth="1"/>
    <col min="83" max="83" width="7.86328125" bestFit="1" customWidth="1"/>
    <col min="84" max="84" width="12" bestFit="1" customWidth="1"/>
    <col min="85" max="85" width="7.59765625" bestFit="1" customWidth="1"/>
    <col min="86" max="86" width="6" bestFit="1" customWidth="1"/>
    <col min="87" max="87" width="10.73046875" customWidth="1"/>
    <col min="89" max="89" width="14.265625" bestFit="1" customWidth="1"/>
    <col min="90" max="90" width="9.59765625" bestFit="1" customWidth="1"/>
    <col min="91" max="91" width="7.73046875" bestFit="1" customWidth="1"/>
    <col min="92" max="92" width="4.73046875" bestFit="1" customWidth="1"/>
    <col min="93" max="93" width="5.1328125" bestFit="1" customWidth="1"/>
    <col min="94" max="94" width="7.265625" bestFit="1" customWidth="1"/>
    <col min="95" max="95" width="4" bestFit="1" customWidth="1"/>
    <col min="96" max="96" width="6.73046875" bestFit="1" customWidth="1"/>
    <col min="97" max="97" width="6.73046875" customWidth="1"/>
    <col min="98" max="98" width="7.265625" bestFit="1" customWidth="1"/>
    <col min="99" max="99" width="5.265625" bestFit="1" customWidth="1"/>
    <col min="100" max="100" width="4.59765625" bestFit="1" customWidth="1"/>
    <col min="101" max="101" width="4.1328125" bestFit="1" customWidth="1"/>
    <col min="102" max="102" width="9.265625" bestFit="1" customWidth="1"/>
    <col min="103" max="103" width="12.86328125" bestFit="1" customWidth="1"/>
    <col min="104" max="104" width="7.1328125" bestFit="1" customWidth="1"/>
    <col min="105" max="105" width="6.86328125" bestFit="1" customWidth="1"/>
    <col min="106" max="106" width="8.59765625" bestFit="1" customWidth="1"/>
    <col min="107" max="107" width="7.3984375" bestFit="1" customWidth="1"/>
    <col min="108" max="108" width="6.265625" bestFit="1" customWidth="1"/>
    <col min="109" max="109" width="12" bestFit="1" customWidth="1"/>
    <col min="110" max="110" width="5.59765625" bestFit="1" customWidth="1"/>
    <col min="115" max="115" width="14.265625" bestFit="1" customWidth="1"/>
    <col min="116" max="116" width="6.59765625" bestFit="1" customWidth="1"/>
    <col min="117" max="118" width="4.3984375" bestFit="1" customWidth="1"/>
    <col min="119" max="119" width="6.265625" bestFit="1" customWidth="1"/>
    <col min="120" max="120" width="3.265625" bestFit="1" customWidth="1"/>
    <col min="121" max="121" width="5.73046875" bestFit="1" customWidth="1"/>
    <col min="122" max="122" width="6.1328125" bestFit="1" customWidth="1"/>
    <col min="123" max="123" width="4.3984375" bestFit="1" customWidth="1"/>
    <col min="124" max="124" width="3.86328125" bestFit="1" customWidth="1"/>
    <col min="125" max="125" width="3.3984375" bestFit="1" customWidth="1"/>
    <col min="126" max="126" width="8" bestFit="1" customWidth="1"/>
    <col min="127" max="127" width="11.1328125" bestFit="1" customWidth="1"/>
    <col min="128" max="128" width="6" bestFit="1" customWidth="1"/>
    <col min="129" max="129" width="5.86328125" bestFit="1" customWidth="1"/>
    <col min="130" max="130" width="7.265625" bestFit="1" customWidth="1"/>
    <col min="131" max="131" width="6.3984375" bestFit="1" customWidth="1"/>
    <col min="132" max="132" width="5.265625" bestFit="1" customWidth="1"/>
    <col min="133" max="133" width="6.86328125" bestFit="1" customWidth="1"/>
    <col min="134" max="134" width="10.59765625" bestFit="1" customWidth="1"/>
    <col min="135" max="135" width="5" bestFit="1" customWidth="1"/>
    <col min="136" max="136" width="6.3984375" customWidth="1"/>
    <col min="137" max="137" width="6" bestFit="1" customWidth="1"/>
    <col min="138" max="138" width="14.265625" bestFit="1" customWidth="1"/>
    <col min="139" max="139" width="13" customWidth="1"/>
    <col min="140" max="140" width="7.73046875" bestFit="1" customWidth="1"/>
    <col min="141" max="141" width="4.73046875" bestFit="1" customWidth="1"/>
    <col min="142" max="142" width="5.3984375" bestFit="1" customWidth="1"/>
    <col min="143" max="143" width="7.265625" bestFit="1" customWidth="1"/>
    <col min="144" max="144" width="4" bestFit="1" customWidth="1"/>
    <col min="145" max="145" width="6.73046875" bestFit="1" customWidth="1"/>
    <col min="146" max="146" width="7.265625" bestFit="1" customWidth="1"/>
    <col min="147" max="147" width="5" bestFit="1" customWidth="1"/>
    <col min="148" max="148" width="7.265625" bestFit="1" customWidth="1"/>
    <col min="149" max="149" width="5.265625" bestFit="1" customWidth="1"/>
    <col min="150" max="150" width="4.59765625" bestFit="1" customWidth="1"/>
    <col min="151" max="151" width="4.1328125" bestFit="1" customWidth="1"/>
    <col min="152" max="152" width="9.265625" bestFit="1" customWidth="1"/>
    <col min="153" max="153" width="12.86328125" bestFit="1" customWidth="1"/>
    <col min="154" max="154" width="7.1328125" bestFit="1" customWidth="1"/>
    <col min="155" max="155" width="6.86328125" bestFit="1" customWidth="1"/>
    <col min="156" max="156" width="8.59765625" bestFit="1" customWidth="1"/>
    <col min="157" max="158" width="8.59765625" customWidth="1"/>
    <col min="159" max="159" width="7.3984375" bestFit="1" customWidth="1"/>
    <col min="160" max="160" width="6.265625" bestFit="1" customWidth="1"/>
    <col min="161" max="161" width="7.86328125" bestFit="1" customWidth="1"/>
    <col min="162" max="162" width="12" bestFit="1" customWidth="1"/>
    <col min="163" max="163" width="7.59765625" bestFit="1" customWidth="1"/>
    <col min="167" max="167" width="14.265625" bestFit="1" customWidth="1"/>
    <col min="168" max="168" width="9.59765625" bestFit="1" customWidth="1"/>
    <col min="169" max="169" width="7.73046875" bestFit="1" customWidth="1"/>
    <col min="170" max="170" width="4.73046875" bestFit="1" customWidth="1"/>
    <col min="171" max="171" width="5.1328125" bestFit="1" customWidth="1"/>
    <col min="172" max="172" width="7.265625" bestFit="1" customWidth="1"/>
    <col min="173" max="173" width="4" bestFit="1" customWidth="1"/>
    <col min="174" max="174" width="6.73046875" bestFit="1" customWidth="1"/>
    <col min="175" max="175" width="7.265625" bestFit="1" customWidth="1"/>
    <col min="176" max="176" width="5" bestFit="1" customWidth="1"/>
    <col min="177" max="177" width="7.265625" bestFit="1" customWidth="1"/>
    <col min="178" max="178" width="5.265625" bestFit="1" customWidth="1"/>
    <col min="179" max="179" width="4.59765625" bestFit="1" customWidth="1"/>
    <col min="180" max="180" width="4.1328125" bestFit="1" customWidth="1"/>
    <col min="181" max="181" width="9.265625" bestFit="1" customWidth="1"/>
    <col min="182" max="182" width="12.86328125" bestFit="1" customWidth="1"/>
    <col min="183" max="183" width="7.1328125" bestFit="1" customWidth="1"/>
    <col min="184" max="184" width="6.86328125" bestFit="1" customWidth="1"/>
    <col min="185" max="185" width="8.59765625" bestFit="1" customWidth="1"/>
    <col min="186" max="186" width="8.59765625" customWidth="1"/>
    <col min="187" max="187" width="7.3984375" bestFit="1" customWidth="1"/>
    <col min="188" max="188" width="6.265625" bestFit="1" customWidth="1"/>
    <col min="189" max="189" width="7.86328125" bestFit="1" customWidth="1"/>
    <col min="190" max="190" width="12" bestFit="1" customWidth="1"/>
    <col min="191" max="191" width="7.59765625" bestFit="1" customWidth="1"/>
    <col min="192" max="192" width="5.59765625" bestFit="1" customWidth="1"/>
    <col min="195" max="195" width="13" bestFit="1" customWidth="1"/>
    <col min="196" max="196" width="8.73046875" bestFit="1" customWidth="1"/>
    <col min="197" max="197" width="6.73046875" bestFit="1" customWidth="1"/>
    <col min="198" max="198" width="4" bestFit="1" customWidth="1"/>
    <col min="199" max="199" width="4.59765625" bestFit="1" customWidth="1"/>
    <col min="200" max="200" width="6.3984375" bestFit="1" customWidth="1"/>
    <col min="201" max="201" width="3.3984375" bestFit="1" customWidth="1"/>
    <col min="202" max="202" width="6" bestFit="1" customWidth="1"/>
    <col min="203" max="203" width="6.59765625" bestFit="1" customWidth="1"/>
    <col min="204" max="204" width="4.265625" bestFit="1" customWidth="1"/>
    <col min="205" max="205" width="6.59765625" bestFit="1" customWidth="1"/>
    <col min="206" max="206" width="4.73046875" bestFit="1" customWidth="1"/>
    <col min="207" max="207" width="4" bestFit="1" customWidth="1"/>
    <col min="208" max="208" width="3.73046875" bestFit="1" customWidth="1"/>
    <col min="209" max="209" width="8.3984375" bestFit="1" customWidth="1"/>
    <col min="210" max="210" width="11.59765625" bestFit="1" customWidth="1"/>
    <col min="211" max="211" width="6.265625" bestFit="1" customWidth="1"/>
    <col min="212" max="212" width="6" bestFit="1" customWidth="1"/>
    <col min="213" max="213" width="7.73046875" bestFit="1" customWidth="1"/>
    <col min="214" max="214" width="6.3984375" bestFit="1" customWidth="1"/>
    <col min="215" max="215" width="6.73046875" bestFit="1" customWidth="1"/>
    <col min="216" max="216" width="5.86328125" bestFit="1" customWidth="1"/>
    <col min="217" max="217" width="7.1328125" bestFit="1" customWidth="1"/>
    <col min="218" max="218" width="10.86328125" bestFit="1" customWidth="1"/>
    <col min="222" max="222" width="14.86328125" bestFit="1" customWidth="1"/>
    <col min="223" max="223" width="9.59765625" customWidth="1"/>
    <col min="224" max="224" width="7.73046875" customWidth="1"/>
    <col min="225" max="225" width="4.73046875" customWidth="1"/>
    <col min="226" max="226" width="5.1328125" customWidth="1"/>
    <col min="227" max="228" width="7.265625" customWidth="1"/>
    <col min="229" max="229" width="6.73046875" customWidth="1"/>
    <col min="230" max="230" width="6.265625" bestFit="1" customWidth="1"/>
    <col min="231" max="231" width="7.265625" customWidth="1"/>
    <col min="232" max="232" width="5.265625" customWidth="1"/>
    <col min="233" max="233" width="4.59765625" customWidth="1"/>
    <col min="234" max="234" width="4.1328125" customWidth="1"/>
    <col min="235" max="235" width="9.265625" customWidth="1"/>
    <col min="236" max="236" width="12.86328125" customWidth="1"/>
    <col min="237" max="237" width="7.1328125" customWidth="1"/>
    <col min="238" max="238" width="6.86328125" customWidth="1"/>
    <col min="239" max="239" width="8.59765625" customWidth="1"/>
    <col min="240" max="240" width="7.3984375" customWidth="1"/>
    <col min="241" max="241" width="6.265625" customWidth="1"/>
    <col min="242" max="242" width="7.86328125" customWidth="1"/>
    <col min="243" max="243" width="12" customWidth="1"/>
    <col min="244" max="244" width="5.59765625" customWidth="1"/>
    <col min="245" max="246" width="10.59765625" customWidth="1"/>
    <col min="247" max="247" width="14.265625" bestFit="1" customWidth="1"/>
    <col min="248" max="248" width="9.59765625" bestFit="1" customWidth="1"/>
    <col min="249" max="249" width="7.73046875" bestFit="1" customWidth="1"/>
    <col min="250" max="250" width="4.73046875" bestFit="1" customWidth="1"/>
    <col min="251" max="251" width="5.1328125" bestFit="1" customWidth="1"/>
    <col min="252" max="252" width="7.265625" bestFit="1" customWidth="1"/>
    <col min="253" max="253" width="6.73046875" bestFit="1" customWidth="1"/>
    <col min="254" max="254" width="7.265625" bestFit="1" customWidth="1"/>
    <col min="255" max="255" width="5.265625" bestFit="1" customWidth="1"/>
    <col min="256" max="256" width="4.59765625" bestFit="1" customWidth="1"/>
    <col min="257" max="257" width="4.1328125" bestFit="1" customWidth="1"/>
    <col min="258" max="258" width="9.265625" bestFit="1" customWidth="1"/>
    <col min="259" max="259" width="12.86328125" bestFit="1" customWidth="1"/>
    <col min="260" max="260" width="7.1328125" bestFit="1" customWidth="1"/>
    <col min="261" max="261" width="6.86328125" bestFit="1" customWidth="1"/>
    <col min="262" max="262" width="8.59765625" bestFit="1" customWidth="1"/>
    <col min="263" max="263" width="7" bestFit="1" customWidth="1"/>
    <col min="264" max="264" width="7.265625" bestFit="1" customWidth="1"/>
    <col min="265" max="265" width="7.3984375" bestFit="1" customWidth="1"/>
    <col min="266" max="267" width="7.3984375" customWidth="1"/>
    <col min="268" max="268" width="12" bestFit="1" customWidth="1"/>
    <col min="269" max="269" width="5.59765625" bestFit="1" customWidth="1"/>
  </cols>
  <sheetData>
    <row r="1" spans="1:269" ht="14.25" x14ac:dyDescent="0.45">
      <c r="B1" t="s">
        <v>0</v>
      </c>
    </row>
    <row r="3" spans="1:269" ht="14.25" x14ac:dyDescent="0.45">
      <c r="B3" t="s">
        <v>1</v>
      </c>
      <c r="T3" t="s">
        <v>2</v>
      </c>
      <c r="AN3" t="s">
        <v>3</v>
      </c>
      <c r="BK3" t="s">
        <v>4</v>
      </c>
      <c r="CK3" t="s">
        <v>5</v>
      </c>
      <c r="DK3" t="s">
        <v>6</v>
      </c>
      <c r="EH3" t="s">
        <v>7</v>
      </c>
      <c r="FK3" t="s">
        <v>8</v>
      </c>
      <c r="GM3" t="s">
        <v>9</v>
      </c>
      <c r="HN3" t="s">
        <v>10</v>
      </c>
      <c r="IM3" t="s">
        <v>11</v>
      </c>
    </row>
    <row r="4" spans="1:269" ht="14.25" customHeight="1" x14ac:dyDescent="0.45">
      <c r="E4" s="6" t="s">
        <v>13</v>
      </c>
      <c r="F4" s="6"/>
      <c r="G4" s="6"/>
      <c r="H4" s="6"/>
      <c r="V4" s="6" t="s">
        <v>14</v>
      </c>
      <c r="W4" s="6"/>
      <c r="AP4" s="6" t="s">
        <v>14</v>
      </c>
      <c r="AQ4" s="6"/>
      <c r="BP4" s="6" t="s">
        <v>14</v>
      </c>
      <c r="BQ4" s="6"/>
      <c r="BR4" s="5"/>
      <c r="BS4" s="5"/>
      <c r="CP4" s="6" t="s">
        <v>13</v>
      </c>
      <c r="CQ4" s="6"/>
      <c r="CR4" s="6"/>
      <c r="CS4" s="5"/>
      <c r="DN4" s="6" t="s">
        <v>14</v>
      </c>
      <c r="DO4" s="6"/>
      <c r="EK4" s="6" t="s">
        <v>14</v>
      </c>
      <c r="EL4" s="6"/>
      <c r="FM4" s="6" t="s">
        <v>14</v>
      </c>
      <c r="FN4" s="6"/>
      <c r="HP4" s="6" t="s">
        <v>14</v>
      </c>
      <c r="HQ4" s="6"/>
      <c r="IO4" s="6" t="s">
        <v>14</v>
      </c>
      <c r="IP4" s="6"/>
    </row>
    <row r="5" spans="1:269" ht="14.25" x14ac:dyDescent="0.45">
      <c r="B5" t="s">
        <v>12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T5" t="s">
        <v>12</v>
      </c>
      <c r="U5" t="s">
        <v>17</v>
      </c>
      <c r="V5" t="s">
        <v>18</v>
      </c>
      <c r="W5" t="s">
        <v>19</v>
      </c>
      <c r="X5" t="s">
        <v>20</v>
      </c>
      <c r="Y5" t="s">
        <v>21</v>
      </c>
      <c r="Z5" t="s">
        <v>22</v>
      </c>
      <c r="AA5" t="s">
        <v>23</v>
      </c>
      <c r="AB5" t="s">
        <v>25</v>
      </c>
      <c r="AC5" t="s">
        <v>24</v>
      </c>
      <c r="AD5" t="s">
        <v>31</v>
      </c>
      <c r="AE5" t="s">
        <v>26</v>
      </c>
      <c r="AF5" t="s">
        <v>27</v>
      </c>
      <c r="AG5" t="s">
        <v>28</v>
      </c>
      <c r="AH5" t="s">
        <v>34</v>
      </c>
      <c r="AI5" t="s">
        <v>29</v>
      </c>
      <c r="AJ5" t="s">
        <v>41</v>
      </c>
      <c r="AK5" t="s">
        <v>30</v>
      </c>
      <c r="AM5" t="s">
        <v>32</v>
      </c>
      <c r="AN5" t="s">
        <v>12</v>
      </c>
      <c r="AO5" t="s">
        <v>17</v>
      </c>
      <c r="AP5" t="s">
        <v>18</v>
      </c>
      <c r="AQ5" t="s">
        <v>19</v>
      </c>
      <c r="AR5" t="s">
        <v>20</v>
      </c>
      <c r="AS5" t="s">
        <v>39</v>
      </c>
      <c r="AT5" t="s">
        <v>40</v>
      </c>
      <c r="AU5" t="s">
        <v>21</v>
      </c>
      <c r="AV5" t="s">
        <v>22</v>
      </c>
      <c r="AW5" t="s">
        <v>23</v>
      </c>
      <c r="AX5" t="s">
        <v>33</v>
      </c>
      <c r="AY5" t="s">
        <v>25</v>
      </c>
      <c r="AZ5" t="s">
        <v>24</v>
      </c>
      <c r="BA5" t="s">
        <v>31</v>
      </c>
      <c r="BB5" t="s">
        <v>26</v>
      </c>
      <c r="BC5" t="s">
        <v>27</v>
      </c>
      <c r="BD5" t="s">
        <v>28</v>
      </c>
      <c r="BE5" t="s">
        <v>34</v>
      </c>
      <c r="BF5" t="s">
        <v>29</v>
      </c>
      <c r="BG5" t="s">
        <v>30</v>
      </c>
      <c r="BK5" t="s">
        <v>12</v>
      </c>
      <c r="BL5" t="s">
        <v>41</v>
      </c>
      <c r="BM5" t="s">
        <v>16</v>
      </c>
      <c r="BN5" t="s">
        <v>17</v>
      </c>
      <c r="BO5" t="s">
        <v>18</v>
      </c>
      <c r="BP5" t="s">
        <v>19</v>
      </c>
      <c r="BQ5" t="s">
        <v>20</v>
      </c>
      <c r="BR5" t="s">
        <v>39</v>
      </c>
      <c r="BS5" t="s">
        <v>40</v>
      </c>
      <c r="BT5" t="s">
        <v>21</v>
      </c>
      <c r="BU5" t="s">
        <v>22</v>
      </c>
      <c r="BV5" t="s">
        <v>23</v>
      </c>
      <c r="BW5" t="s">
        <v>35</v>
      </c>
      <c r="BX5" t="s">
        <v>137</v>
      </c>
      <c r="BY5" t="s">
        <v>25</v>
      </c>
      <c r="BZ5" t="s">
        <v>24</v>
      </c>
      <c r="CA5" t="s">
        <v>31</v>
      </c>
      <c r="CB5" t="s">
        <v>26</v>
      </c>
      <c r="CC5" t="s">
        <v>27</v>
      </c>
      <c r="CD5" t="s">
        <v>28</v>
      </c>
      <c r="CE5" t="s">
        <v>34</v>
      </c>
      <c r="CF5" t="s">
        <v>29</v>
      </c>
      <c r="CG5" t="s">
        <v>42</v>
      </c>
      <c r="CH5" t="s">
        <v>36</v>
      </c>
      <c r="CK5" t="s">
        <v>12</v>
      </c>
      <c r="CL5" t="s">
        <v>41</v>
      </c>
      <c r="CM5" t="s">
        <v>38</v>
      </c>
      <c r="CN5" t="s">
        <v>17</v>
      </c>
      <c r="CO5" t="s">
        <v>18</v>
      </c>
      <c r="CP5" t="s">
        <v>19</v>
      </c>
      <c r="CQ5" t="s">
        <v>37</v>
      </c>
      <c r="CR5" t="s">
        <v>20</v>
      </c>
      <c r="CS5" t="s">
        <v>39</v>
      </c>
      <c r="CT5" t="s">
        <v>21</v>
      </c>
      <c r="CU5" t="s">
        <v>22</v>
      </c>
      <c r="CV5" t="s">
        <v>23</v>
      </c>
      <c r="CW5" t="s">
        <v>35</v>
      </c>
      <c r="CX5" t="s">
        <v>33</v>
      </c>
      <c r="CY5" t="s">
        <v>25</v>
      </c>
      <c r="CZ5" t="s">
        <v>24</v>
      </c>
      <c r="DA5" t="s">
        <v>31</v>
      </c>
      <c r="DB5" t="s">
        <v>26</v>
      </c>
      <c r="DC5" t="s">
        <v>27</v>
      </c>
      <c r="DD5" t="s">
        <v>28</v>
      </c>
      <c r="DE5" t="s">
        <v>29</v>
      </c>
      <c r="DF5" t="s">
        <v>30</v>
      </c>
      <c r="DK5" t="s">
        <v>12</v>
      </c>
      <c r="DL5" t="s">
        <v>38</v>
      </c>
      <c r="DM5" t="s">
        <v>17</v>
      </c>
      <c r="DN5" t="s">
        <v>18</v>
      </c>
      <c r="DO5" t="s">
        <v>19</v>
      </c>
      <c r="DP5" t="s">
        <v>37</v>
      </c>
      <c r="DQ5" t="s">
        <v>20</v>
      </c>
      <c r="DR5" t="s">
        <v>21</v>
      </c>
      <c r="DS5" t="s">
        <v>22</v>
      </c>
      <c r="DT5" t="s">
        <v>23</v>
      </c>
      <c r="DU5" t="s">
        <v>35</v>
      </c>
      <c r="DV5" t="s">
        <v>33</v>
      </c>
      <c r="DW5" t="s">
        <v>25</v>
      </c>
      <c r="DX5" t="s">
        <v>24</v>
      </c>
      <c r="DY5" t="s">
        <v>31</v>
      </c>
      <c r="DZ5" t="s">
        <v>26</v>
      </c>
      <c r="EA5" t="s">
        <v>27</v>
      </c>
      <c r="EB5" t="s">
        <v>28</v>
      </c>
      <c r="EC5" t="s">
        <v>34</v>
      </c>
      <c r="ED5" t="s">
        <v>29</v>
      </c>
      <c r="EE5" t="s">
        <v>30</v>
      </c>
      <c r="EH5" t="s">
        <v>12</v>
      </c>
      <c r="EI5" t="s">
        <v>41</v>
      </c>
      <c r="EJ5" t="s">
        <v>38</v>
      </c>
      <c r="EK5" t="s">
        <v>17</v>
      </c>
      <c r="EL5" t="s">
        <v>18</v>
      </c>
      <c r="EM5" t="s">
        <v>19</v>
      </c>
      <c r="EN5" t="s">
        <v>37</v>
      </c>
      <c r="EO5" t="s">
        <v>20</v>
      </c>
      <c r="EP5" t="s">
        <v>39</v>
      </c>
      <c r="EQ5" t="s">
        <v>40</v>
      </c>
      <c r="ER5" t="s">
        <v>21</v>
      </c>
      <c r="ES5" t="s">
        <v>22</v>
      </c>
      <c r="ET5" t="s">
        <v>23</v>
      </c>
      <c r="EU5" t="s">
        <v>35</v>
      </c>
      <c r="EV5" t="s">
        <v>33</v>
      </c>
      <c r="EW5" t="s">
        <v>25</v>
      </c>
      <c r="EX5" t="s">
        <v>24</v>
      </c>
      <c r="EY5" t="s">
        <v>31</v>
      </c>
      <c r="EZ5" t="s">
        <v>26</v>
      </c>
      <c r="FA5" t="s">
        <v>138</v>
      </c>
      <c r="FB5" t="s">
        <v>43</v>
      </c>
      <c r="FC5" t="s">
        <v>27</v>
      </c>
      <c r="FD5" t="s">
        <v>28</v>
      </c>
      <c r="FE5" t="s">
        <v>34</v>
      </c>
      <c r="FF5" t="s">
        <v>29</v>
      </c>
      <c r="FG5" t="s">
        <v>42</v>
      </c>
      <c r="FH5" t="s">
        <v>30</v>
      </c>
      <c r="FK5" t="s">
        <v>12</v>
      </c>
      <c r="FL5" t="s">
        <v>41</v>
      </c>
      <c r="FM5" t="s">
        <v>38</v>
      </c>
      <c r="FN5" t="s">
        <v>17</v>
      </c>
      <c r="FO5" t="s">
        <v>18</v>
      </c>
      <c r="FP5" t="s">
        <v>19</v>
      </c>
      <c r="FQ5" t="s">
        <v>37</v>
      </c>
      <c r="FR5" t="s">
        <v>20</v>
      </c>
      <c r="FS5" t="s">
        <v>39</v>
      </c>
      <c r="FT5" t="s">
        <v>40</v>
      </c>
      <c r="FU5" t="s">
        <v>21</v>
      </c>
      <c r="FV5" t="s">
        <v>22</v>
      </c>
      <c r="FW5" t="s">
        <v>23</v>
      </c>
      <c r="FX5" t="s">
        <v>35</v>
      </c>
      <c r="FY5" t="s">
        <v>33</v>
      </c>
      <c r="FZ5" t="s">
        <v>25</v>
      </c>
      <c r="GA5" t="s">
        <v>24</v>
      </c>
      <c r="GB5" t="s">
        <v>31</v>
      </c>
      <c r="GC5" t="s">
        <v>26</v>
      </c>
      <c r="GD5" t="s">
        <v>43</v>
      </c>
      <c r="GE5" t="s">
        <v>27</v>
      </c>
      <c r="GF5" t="s">
        <v>28</v>
      </c>
      <c r="GG5" t="s">
        <v>34</v>
      </c>
      <c r="GH5" t="s">
        <v>29</v>
      </c>
      <c r="GI5" t="s">
        <v>42</v>
      </c>
      <c r="GJ5" t="s">
        <v>30</v>
      </c>
      <c r="GM5" t="s">
        <v>12</v>
      </c>
      <c r="GN5" t="s">
        <v>41</v>
      </c>
      <c r="GO5" t="s">
        <v>38</v>
      </c>
      <c r="GP5" t="s">
        <v>17</v>
      </c>
      <c r="GQ5" t="s">
        <v>18</v>
      </c>
      <c r="GR5" t="s">
        <v>19</v>
      </c>
      <c r="GS5" t="s">
        <v>37</v>
      </c>
      <c r="GT5" t="s">
        <v>20</v>
      </c>
      <c r="GU5" t="s">
        <v>39</v>
      </c>
      <c r="GV5" t="s">
        <v>40</v>
      </c>
      <c r="GW5" t="s">
        <v>21</v>
      </c>
      <c r="GX5" t="s">
        <v>22</v>
      </c>
      <c r="GY5" t="s">
        <v>23</v>
      </c>
      <c r="GZ5" t="s">
        <v>35</v>
      </c>
      <c r="HA5" t="s">
        <v>33</v>
      </c>
      <c r="HB5" t="s">
        <v>25</v>
      </c>
      <c r="HC5" t="s">
        <v>24</v>
      </c>
      <c r="HD5" t="s">
        <v>31</v>
      </c>
      <c r="HE5" t="s">
        <v>26</v>
      </c>
      <c r="HF5" t="s">
        <v>43</v>
      </c>
      <c r="HG5" t="s">
        <v>27</v>
      </c>
      <c r="HH5" t="s">
        <v>28</v>
      </c>
      <c r="HI5" t="s">
        <v>34</v>
      </c>
      <c r="HJ5" t="s">
        <v>29</v>
      </c>
      <c r="HK5" t="s">
        <v>30</v>
      </c>
      <c r="HN5" t="s">
        <v>15</v>
      </c>
      <c r="HO5" t="s">
        <v>41</v>
      </c>
      <c r="HP5" t="s">
        <v>38</v>
      </c>
      <c r="HQ5" t="s">
        <v>17</v>
      </c>
      <c r="HR5" t="s">
        <v>18</v>
      </c>
      <c r="HS5" t="s">
        <v>19</v>
      </c>
      <c r="HT5" t="s">
        <v>37</v>
      </c>
      <c r="HU5" t="s">
        <v>20</v>
      </c>
      <c r="HV5" t="s">
        <v>39</v>
      </c>
      <c r="HW5" t="s">
        <v>21</v>
      </c>
      <c r="HX5" t="s">
        <v>22</v>
      </c>
      <c r="HY5" t="s">
        <v>23</v>
      </c>
      <c r="HZ5" t="s">
        <v>35</v>
      </c>
      <c r="IA5" t="s">
        <v>33</v>
      </c>
      <c r="IB5" t="s">
        <v>25</v>
      </c>
      <c r="IC5" t="s">
        <v>24</v>
      </c>
      <c r="ID5" t="s">
        <v>31</v>
      </c>
      <c r="IE5" t="s">
        <v>26</v>
      </c>
      <c r="IF5" t="s">
        <v>27</v>
      </c>
      <c r="IG5" t="s">
        <v>28</v>
      </c>
      <c r="IH5" t="s">
        <v>34</v>
      </c>
      <c r="II5" t="s">
        <v>29</v>
      </c>
      <c r="IJ5" t="s">
        <v>30</v>
      </c>
      <c r="IM5" t="s">
        <v>12</v>
      </c>
      <c r="IN5" t="s">
        <v>41</v>
      </c>
      <c r="IO5" t="s">
        <v>38</v>
      </c>
      <c r="IP5" t="s">
        <v>17</v>
      </c>
      <c r="IQ5" t="s">
        <v>18</v>
      </c>
      <c r="IR5" t="s">
        <v>19</v>
      </c>
      <c r="IS5" t="s">
        <v>20</v>
      </c>
      <c r="IT5" t="s">
        <v>21</v>
      </c>
      <c r="IU5" t="s">
        <v>22</v>
      </c>
      <c r="IV5" t="s">
        <v>23</v>
      </c>
      <c r="IW5" t="s">
        <v>35</v>
      </c>
      <c r="IX5" t="s">
        <v>33</v>
      </c>
      <c r="IY5" t="s">
        <v>25</v>
      </c>
      <c r="IZ5" t="s">
        <v>24</v>
      </c>
      <c r="JA5" t="s">
        <v>31</v>
      </c>
      <c r="JB5" t="s">
        <v>26</v>
      </c>
      <c r="JC5" t="s">
        <v>138</v>
      </c>
      <c r="JD5" t="s">
        <v>43</v>
      </c>
      <c r="JE5" t="s">
        <v>27</v>
      </c>
      <c r="JF5" t="s">
        <v>28</v>
      </c>
      <c r="JG5" t="s">
        <v>34</v>
      </c>
      <c r="JH5" t="s">
        <v>29</v>
      </c>
      <c r="JI5" t="s">
        <v>30</v>
      </c>
    </row>
    <row r="6" spans="1:269" ht="14.25" x14ac:dyDescent="0.45">
      <c r="A6" s="6" t="s">
        <v>32</v>
      </c>
      <c r="B6" t="s">
        <v>16</v>
      </c>
      <c r="Q6">
        <f t="shared" ref="Q6:Q19" si="0">SUM(C6:P6)</f>
        <v>0</v>
      </c>
      <c r="S6" t="s">
        <v>32</v>
      </c>
      <c r="T6" t="s">
        <v>17</v>
      </c>
      <c r="U6">
        <v>4</v>
      </c>
      <c r="Z6">
        <v>1</v>
      </c>
      <c r="AK6">
        <f>SUM(U6:AJ6)</f>
        <v>5</v>
      </c>
      <c r="AN6" t="s">
        <v>17</v>
      </c>
      <c r="BG6">
        <f>SUM(AO6:BF6)</f>
        <v>0</v>
      </c>
      <c r="BJ6" t="s">
        <v>32</v>
      </c>
      <c r="BK6" t="s">
        <v>231</v>
      </c>
      <c r="CB6">
        <v>1</v>
      </c>
      <c r="CH6">
        <f>SUM(BM6:CG6)</f>
        <v>1</v>
      </c>
      <c r="CJ6" t="s">
        <v>32</v>
      </c>
      <c r="CK6" t="s">
        <v>41</v>
      </c>
      <c r="DF6">
        <f>SUM(CN6:DE6)</f>
        <v>0</v>
      </c>
      <c r="DJ6" t="s">
        <v>32</v>
      </c>
      <c r="DK6" t="s">
        <v>38</v>
      </c>
      <c r="EE6">
        <f>SUM(DL6:ED6)</f>
        <v>0</v>
      </c>
      <c r="EG6" t="s">
        <v>32</v>
      </c>
      <c r="EH6" t="s">
        <v>41</v>
      </c>
      <c r="EW6">
        <v>1</v>
      </c>
      <c r="FF6">
        <v>1</v>
      </c>
      <c r="FH6">
        <f>SUM(EI6:FG6)</f>
        <v>2</v>
      </c>
      <c r="FJ6" t="s">
        <v>32</v>
      </c>
      <c r="FK6" t="s">
        <v>41</v>
      </c>
      <c r="GJ6">
        <f t="shared" ref="GJ6:GJ28" si="1">SUM(FL6:GI6)</f>
        <v>0</v>
      </c>
      <c r="GM6" t="s">
        <v>41</v>
      </c>
      <c r="HK6">
        <f>SUM(GN6:HJ6)</f>
        <v>0</v>
      </c>
      <c r="HM6" t="s">
        <v>32</v>
      </c>
      <c r="HN6" t="s">
        <v>41</v>
      </c>
      <c r="IJ6">
        <f t="shared" ref="IJ6:IJ11" si="2">SUM(HO6:II6)</f>
        <v>0</v>
      </c>
      <c r="IL6" t="s">
        <v>32</v>
      </c>
      <c r="IM6" t="s">
        <v>41</v>
      </c>
      <c r="IY6">
        <v>3</v>
      </c>
      <c r="JI6">
        <f>SUM(IN6:JH6)</f>
        <v>3</v>
      </c>
    </row>
    <row r="7" spans="1:269" ht="14.25" x14ac:dyDescent="0.45">
      <c r="A7" s="6"/>
      <c r="B7" t="s">
        <v>17</v>
      </c>
      <c r="Q7">
        <f t="shared" si="0"/>
        <v>0</v>
      </c>
      <c r="T7" t="s">
        <v>18</v>
      </c>
      <c r="AK7">
        <f t="shared" ref="AK7:AK18" si="3">SUM(U7:AJ7)</f>
        <v>0</v>
      </c>
      <c r="AN7" t="s">
        <v>18</v>
      </c>
      <c r="BG7">
        <f>SUM(AO7:BF7)</f>
        <v>0</v>
      </c>
      <c r="BK7" t="s">
        <v>16</v>
      </c>
      <c r="CH7">
        <f>SUM(BM7:CG7)</f>
        <v>0</v>
      </c>
      <c r="CK7" t="s">
        <v>16</v>
      </c>
      <c r="DF7">
        <f t="shared" ref="DF7:DF13" si="4">SUM(CN7:DE7)</f>
        <v>0</v>
      </c>
      <c r="DK7" t="s">
        <v>17</v>
      </c>
      <c r="EE7">
        <f>SUM(DL7:ED7)</f>
        <v>0</v>
      </c>
      <c r="EH7" t="s">
        <v>38</v>
      </c>
      <c r="FH7">
        <f t="shared" ref="FH7:FH29" si="5">SUM(EI7:FG7)</f>
        <v>0</v>
      </c>
      <c r="FK7" t="s">
        <v>38</v>
      </c>
      <c r="GJ7">
        <f t="shared" si="1"/>
        <v>0</v>
      </c>
      <c r="GM7" t="s">
        <v>38</v>
      </c>
      <c r="HK7">
        <f t="shared" ref="HK7:HK28" si="6">SUM(GN7:HJ7)</f>
        <v>0</v>
      </c>
      <c r="HN7" t="s">
        <v>38</v>
      </c>
      <c r="IJ7">
        <f t="shared" si="2"/>
        <v>0</v>
      </c>
      <c r="IM7" t="s">
        <v>38</v>
      </c>
      <c r="JI7">
        <f t="shared" ref="JI7:JI24" si="7">SUM(IN7:JH7)</f>
        <v>0</v>
      </c>
    </row>
    <row r="8" spans="1:269" ht="14.25" x14ac:dyDescent="0.45">
      <c r="B8" t="s">
        <v>18</v>
      </c>
      <c r="Q8">
        <f t="shared" si="0"/>
        <v>0</v>
      </c>
      <c r="T8" t="s">
        <v>19</v>
      </c>
      <c r="AK8">
        <f t="shared" si="3"/>
        <v>0</v>
      </c>
      <c r="AN8" t="s">
        <v>19</v>
      </c>
      <c r="BG8">
        <f>SUM(AO8:BF8)</f>
        <v>0</v>
      </c>
      <c r="BK8" t="s">
        <v>17</v>
      </c>
      <c r="BN8">
        <v>20</v>
      </c>
      <c r="BT8">
        <v>1</v>
      </c>
      <c r="CF8">
        <v>4</v>
      </c>
      <c r="CH8">
        <f t="shared" ref="CH8:CH27" si="8">SUM(BM8:CG8)</f>
        <v>25</v>
      </c>
      <c r="CK8" t="s">
        <v>17</v>
      </c>
      <c r="CN8">
        <v>22</v>
      </c>
      <c r="CT8">
        <v>1</v>
      </c>
      <c r="DC8">
        <v>2</v>
      </c>
      <c r="DF8">
        <f t="shared" si="4"/>
        <v>25</v>
      </c>
      <c r="DK8" t="s">
        <v>18</v>
      </c>
      <c r="EE8">
        <f t="shared" ref="EE8:EE24" si="9">SUM(DL8:ED8)</f>
        <v>0</v>
      </c>
      <c r="EH8" t="s">
        <v>17</v>
      </c>
      <c r="EK8">
        <v>21</v>
      </c>
      <c r="EL8">
        <v>1</v>
      </c>
      <c r="EO8">
        <v>5</v>
      </c>
      <c r="ES8">
        <v>2</v>
      </c>
      <c r="FH8">
        <f t="shared" si="5"/>
        <v>29</v>
      </c>
      <c r="FK8" t="s">
        <v>17</v>
      </c>
      <c r="FN8">
        <v>2</v>
      </c>
      <c r="GH8">
        <v>1</v>
      </c>
      <c r="GJ8">
        <f t="shared" si="1"/>
        <v>3</v>
      </c>
      <c r="GM8" t="s">
        <v>17</v>
      </c>
      <c r="HK8">
        <f t="shared" si="6"/>
        <v>0</v>
      </c>
      <c r="HN8" t="s">
        <v>17</v>
      </c>
      <c r="HQ8">
        <v>25</v>
      </c>
      <c r="IJ8">
        <f t="shared" si="2"/>
        <v>25</v>
      </c>
      <c r="IM8" t="s">
        <v>17</v>
      </c>
      <c r="IP8">
        <v>3</v>
      </c>
      <c r="JI8">
        <f t="shared" si="7"/>
        <v>3</v>
      </c>
    </row>
    <row r="9" spans="1:269" ht="14.25" x14ac:dyDescent="0.45">
      <c r="B9" t="s">
        <v>19</v>
      </c>
      <c r="Q9">
        <f t="shared" si="0"/>
        <v>0</v>
      </c>
      <c r="T9" t="s">
        <v>20</v>
      </c>
      <c r="AK9">
        <f t="shared" si="3"/>
        <v>0</v>
      </c>
      <c r="AN9" t="s">
        <v>20</v>
      </c>
      <c r="BG9">
        <f>SUM(AO9:BF9)</f>
        <v>0</v>
      </c>
      <c r="BK9" t="s">
        <v>18</v>
      </c>
      <c r="BO9">
        <v>1</v>
      </c>
      <c r="BT9">
        <v>24</v>
      </c>
      <c r="BU9">
        <v>9</v>
      </c>
      <c r="BV9">
        <v>1</v>
      </c>
      <c r="BY9">
        <v>9</v>
      </c>
      <c r="CA9">
        <v>3</v>
      </c>
      <c r="CF9">
        <v>3</v>
      </c>
      <c r="CH9">
        <f t="shared" si="8"/>
        <v>50</v>
      </c>
      <c r="CK9" t="s">
        <v>18</v>
      </c>
      <c r="CO9">
        <v>5</v>
      </c>
      <c r="CT9">
        <v>1</v>
      </c>
      <c r="CU9">
        <v>6</v>
      </c>
      <c r="DF9">
        <f t="shared" si="4"/>
        <v>12</v>
      </c>
      <c r="DK9" t="s">
        <v>19</v>
      </c>
      <c r="EE9">
        <f t="shared" si="9"/>
        <v>0</v>
      </c>
      <c r="EH9" t="s">
        <v>18</v>
      </c>
      <c r="EL9">
        <v>131</v>
      </c>
      <c r="EM9">
        <v>1</v>
      </c>
      <c r="ER9">
        <v>24</v>
      </c>
      <c r="ES9">
        <v>11</v>
      </c>
      <c r="ET9">
        <v>3</v>
      </c>
      <c r="EU9">
        <v>1</v>
      </c>
      <c r="EV9">
        <v>2</v>
      </c>
      <c r="EW9">
        <v>10</v>
      </c>
      <c r="EY9">
        <v>6</v>
      </c>
      <c r="EZ9">
        <v>7</v>
      </c>
      <c r="FD9">
        <v>11</v>
      </c>
      <c r="FF9">
        <v>18</v>
      </c>
      <c r="FH9">
        <f t="shared" si="5"/>
        <v>225</v>
      </c>
      <c r="FK9" t="s">
        <v>18</v>
      </c>
      <c r="FO9">
        <v>1</v>
      </c>
      <c r="GC9">
        <v>1</v>
      </c>
      <c r="GH9">
        <v>1</v>
      </c>
      <c r="GJ9">
        <f t="shared" si="1"/>
        <v>3</v>
      </c>
      <c r="GM9" t="s">
        <v>18</v>
      </c>
      <c r="HK9">
        <f t="shared" si="6"/>
        <v>0</v>
      </c>
      <c r="HN9" t="s">
        <v>18</v>
      </c>
      <c r="HR9">
        <v>59</v>
      </c>
      <c r="HX9">
        <v>3</v>
      </c>
      <c r="IB9">
        <v>1</v>
      </c>
      <c r="IF9">
        <v>1</v>
      </c>
      <c r="IG9">
        <v>1</v>
      </c>
      <c r="II9">
        <v>9</v>
      </c>
      <c r="IJ9">
        <f t="shared" si="2"/>
        <v>74</v>
      </c>
      <c r="IM9" t="s">
        <v>18</v>
      </c>
      <c r="IQ9">
        <v>30</v>
      </c>
      <c r="IY9">
        <v>1</v>
      </c>
      <c r="IZ9">
        <v>1</v>
      </c>
      <c r="JB9">
        <v>2</v>
      </c>
      <c r="JF9">
        <v>2</v>
      </c>
      <c r="JH9">
        <v>1</v>
      </c>
      <c r="JI9">
        <f t="shared" si="7"/>
        <v>37</v>
      </c>
    </row>
    <row r="10" spans="1:269" ht="14.25" x14ac:dyDescent="0.45">
      <c r="B10" t="s">
        <v>20</v>
      </c>
      <c r="Q10">
        <f t="shared" si="0"/>
        <v>0</v>
      </c>
      <c r="T10" t="s">
        <v>21</v>
      </c>
      <c r="AK10">
        <f t="shared" si="3"/>
        <v>0</v>
      </c>
      <c r="AN10" t="s">
        <v>39</v>
      </c>
      <c r="BG10">
        <f>SUM(AO10:BF10)</f>
        <v>0</v>
      </c>
      <c r="BK10" t="s">
        <v>19</v>
      </c>
      <c r="BT10">
        <v>1</v>
      </c>
      <c r="CH10">
        <f t="shared" si="8"/>
        <v>1</v>
      </c>
      <c r="CK10" t="s">
        <v>19</v>
      </c>
      <c r="CP10">
        <v>3</v>
      </c>
      <c r="CT10">
        <v>1</v>
      </c>
      <c r="DF10">
        <f t="shared" si="4"/>
        <v>4</v>
      </c>
      <c r="DK10" t="s">
        <v>37</v>
      </c>
      <c r="EE10">
        <f t="shared" si="9"/>
        <v>0</v>
      </c>
      <c r="EH10" t="s">
        <v>19</v>
      </c>
      <c r="EM10">
        <v>15</v>
      </c>
      <c r="FH10">
        <f t="shared" si="5"/>
        <v>15</v>
      </c>
      <c r="FK10" t="s">
        <v>19</v>
      </c>
      <c r="GJ10">
        <f t="shared" si="1"/>
        <v>0</v>
      </c>
      <c r="GM10" t="s">
        <v>19</v>
      </c>
      <c r="HK10">
        <f t="shared" si="6"/>
        <v>0</v>
      </c>
      <c r="HN10" t="s">
        <v>19</v>
      </c>
      <c r="HS10">
        <v>13</v>
      </c>
      <c r="II10">
        <v>1</v>
      </c>
      <c r="IJ10">
        <f t="shared" si="2"/>
        <v>14</v>
      </c>
      <c r="IM10" t="s">
        <v>19</v>
      </c>
      <c r="IR10">
        <v>1</v>
      </c>
      <c r="JI10">
        <f t="shared" si="7"/>
        <v>1</v>
      </c>
    </row>
    <row r="11" spans="1:269" ht="14.25" x14ac:dyDescent="0.45">
      <c r="B11" t="s">
        <v>21</v>
      </c>
      <c r="Q11">
        <f t="shared" si="0"/>
        <v>0</v>
      </c>
      <c r="T11" t="s">
        <v>22</v>
      </c>
      <c r="AK11">
        <f t="shared" si="3"/>
        <v>0</v>
      </c>
      <c r="AN11" t="s">
        <v>40</v>
      </c>
      <c r="BG11">
        <f t="shared" ref="BG11" si="10">SUM(AO11:BF11)</f>
        <v>0</v>
      </c>
      <c r="BK11" t="s">
        <v>20</v>
      </c>
      <c r="CH11">
        <f t="shared" si="8"/>
        <v>0</v>
      </c>
      <c r="CK11" t="s">
        <v>37</v>
      </c>
      <c r="DF11">
        <f t="shared" si="4"/>
        <v>0</v>
      </c>
      <c r="DK11" t="s">
        <v>20</v>
      </c>
      <c r="EE11">
        <f t="shared" si="9"/>
        <v>0</v>
      </c>
      <c r="EH11" t="s">
        <v>37</v>
      </c>
      <c r="FH11">
        <f t="shared" si="5"/>
        <v>0</v>
      </c>
      <c r="FK11" t="s">
        <v>37</v>
      </c>
      <c r="GJ11">
        <f t="shared" si="1"/>
        <v>0</v>
      </c>
      <c r="GM11" t="s">
        <v>37</v>
      </c>
      <c r="HK11">
        <f t="shared" si="6"/>
        <v>0</v>
      </c>
      <c r="HN11" t="s">
        <v>37</v>
      </c>
      <c r="IJ11">
        <f t="shared" si="2"/>
        <v>0</v>
      </c>
      <c r="IM11" t="s">
        <v>20</v>
      </c>
      <c r="JI11">
        <f t="shared" si="7"/>
        <v>0</v>
      </c>
    </row>
    <row r="12" spans="1:269" ht="14.25" x14ac:dyDescent="0.45">
      <c r="B12" t="s">
        <v>22</v>
      </c>
      <c r="Q12">
        <f t="shared" si="0"/>
        <v>0</v>
      </c>
      <c r="T12" t="s">
        <v>23</v>
      </c>
      <c r="AK12">
        <f t="shared" si="3"/>
        <v>0</v>
      </c>
      <c r="AN12" t="s">
        <v>21</v>
      </c>
      <c r="AU12">
        <v>4</v>
      </c>
      <c r="BG12">
        <f t="shared" ref="BG12:BG23" si="11">SUM(AO12:BF12)</f>
        <v>4</v>
      </c>
      <c r="BK12" t="s">
        <v>39</v>
      </c>
      <c r="CH12">
        <f t="shared" si="8"/>
        <v>0</v>
      </c>
      <c r="CK12" t="s">
        <v>20</v>
      </c>
      <c r="DF12">
        <f t="shared" si="4"/>
        <v>0</v>
      </c>
      <c r="DK12" t="s">
        <v>21</v>
      </c>
      <c r="DO12" s="6" t="s">
        <v>232</v>
      </c>
      <c r="DP12" s="6"/>
      <c r="DQ12" s="6"/>
      <c r="DR12" s="6"/>
      <c r="DS12" s="6"/>
      <c r="EE12">
        <f t="shared" si="9"/>
        <v>0</v>
      </c>
      <c r="EH12" t="s">
        <v>20</v>
      </c>
      <c r="FH12">
        <f t="shared" si="5"/>
        <v>0</v>
      </c>
      <c r="FK12" t="s">
        <v>20</v>
      </c>
      <c r="GJ12">
        <f t="shared" si="1"/>
        <v>0</v>
      </c>
      <c r="GM12" t="s">
        <v>20</v>
      </c>
      <c r="HK12">
        <f t="shared" si="6"/>
        <v>0</v>
      </c>
      <c r="HN12" t="s">
        <v>20</v>
      </c>
      <c r="IJ12">
        <f t="shared" ref="IJ12:IJ26" si="12">SUM(HO12:II12)</f>
        <v>0</v>
      </c>
      <c r="IM12" t="s">
        <v>21</v>
      </c>
      <c r="IT12">
        <v>8</v>
      </c>
      <c r="JI12">
        <f t="shared" si="7"/>
        <v>8</v>
      </c>
    </row>
    <row r="13" spans="1:269" ht="14.25" x14ac:dyDescent="0.45">
      <c r="B13" t="s">
        <v>23</v>
      </c>
      <c r="Q13">
        <f t="shared" si="0"/>
        <v>0</v>
      </c>
      <c r="T13" t="s">
        <v>25</v>
      </c>
      <c r="U13">
        <v>2</v>
      </c>
      <c r="AI13">
        <v>7</v>
      </c>
      <c r="AK13">
        <f t="shared" si="3"/>
        <v>9</v>
      </c>
      <c r="AN13" t="s">
        <v>22</v>
      </c>
      <c r="BG13">
        <f t="shared" si="11"/>
        <v>0</v>
      </c>
      <c r="BK13" t="s">
        <v>40</v>
      </c>
      <c r="CH13">
        <f t="shared" si="8"/>
        <v>0</v>
      </c>
      <c r="CK13" t="s">
        <v>39</v>
      </c>
      <c r="DF13">
        <f t="shared" si="4"/>
        <v>0</v>
      </c>
      <c r="DK13" t="s">
        <v>22</v>
      </c>
      <c r="EE13">
        <f t="shared" si="9"/>
        <v>0</v>
      </c>
      <c r="EH13" t="s">
        <v>39</v>
      </c>
      <c r="FH13">
        <f t="shared" si="5"/>
        <v>0</v>
      </c>
      <c r="FK13" t="s">
        <v>39</v>
      </c>
      <c r="GJ13">
        <f t="shared" si="1"/>
        <v>0</v>
      </c>
      <c r="GM13" t="s">
        <v>39</v>
      </c>
      <c r="HK13">
        <f t="shared" si="6"/>
        <v>0</v>
      </c>
      <c r="HN13" t="s">
        <v>39</v>
      </c>
      <c r="IJ13">
        <f t="shared" si="12"/>
        <v>0</v>
      </c>
      <c r="IM13" t="s">
        <v>22</v>
      </c>
      <c r="IU13">
        <v>2</v>
      </c>
      <c r="JI13">
        <f t="shared" si="7"/>
        <v>2</v>
      </c>
    </row>
    <row r="14" spans="1:269" ht="14.25" x14ac:dyDescent="0.45">
      <c r="B14" t="s">
        <v>24</v>
      </c>
      <c r="K14">
        <v>3</v>
      </c>
      <c r="Q14">
        <f t="shared" si="0"/>
        <v>3</v>
      </c>
      <c r="T14" t="s">
        <v>24</v>
      </c>
      <c r="AC14">
        <v>4</v>
      </c>
      <c r="AH14">
        <v>3</v>
      </c>
      <c r="AK14">
        <f t="shared" si="3"/>
        <v>7</v>
      </c>
      <c r="AN14" t="s">
        <v>23</v>
      </c>
      <c r="BG14">
        <f t="shared" si="11"/>
        <v>0</v>
      </c>
      <c r="BK14" t="s">
        <v>21</v>
      </c>
      <c r="BT14">
        <v>7</v>
      </c>
      <c r="CH14">
        <f t="shared" si="8"/>
        <v>7</v>
      </c>
      <c r="CK14" t="s">
        <v>21</v>
      </c>
      <c r="CT14">
        <v>16</v>
      </c>
      <c r="CW14">
        <v>1</v>
      </c>
      <c r="DF14">
        <f t="shared" ref="DF14:DF25" si="13">SUM(CN14:DE14)</f>
        <v>17</v>
      </c>
      <c r="DK14" t="s">
        <v>23</v>
      </c>
      <c r="EE14">
        <f t="shared" si="9"/>
        <v>0</v>
      </c>
      <c r="EH14" t="s">
        <v>40</v>
      </c>
      <c r="FH14">
        <f t="shared" si="5"/>
        <v>0</v>
      </c>
      <c r="FK14" t="s">
        <v>40</v>
      </c>
      <c r="GJ14">
        <f t="shared" si="1"/>
        <v>0</v>
      </c>
      <c r="GM14" t="s">
        <v>40</v>
      </c>
      <c r="HK14">
        <f t="shared" si="6"/>
        <v>0</v>
      </c>
      <c r="HN14" t="s">
        <v>21</v>
      </c>
      <c r="HW14">
        <v>224</v>
      </c>
      <c r="HY14">
        <v>2</v>
      </c>
      <c r="HZ14">
        <v>1</v>
      </c>
      <c r="IA14">
        <v>1</v>
      </c>
      <c r="IF14">
        <v>1</v>
      </c>
      <c r="II14">
        <v>1</v>
      </c>
      <c r="IJ14">
        <f t="shared" si="12"/>
        <v>230</v>
      </c>
      <c r="IM14" t="s">
        <v>23</v>
      </c>
      <c r="JI14">
        <f t="shared" si="7"/>
        <v>0</v>
      </c>
    </row>
    <row r="15" spans="1:269" ht="14.25" x14ac:dyDescent="0.45">
      <c r="B15" t="s">
        <v>25</v>
      </c>
      <c r="P15">
        <v>1</v>
      </c>
      <c r="Q15">
        <f t="shared" si="0"/>
        <v>1</v>
      </c>
      <c r="T15" t="s">
        <v>31</v>
      </c>
      <c r="AK15">
        <f t="shared" si="3"/>
        <v>0</v>
      </c>
      <c r="AN15" t="s">
        <v>33</v>
      </c>
      <c r="BG15">
        <f t="shared" si="11"/>
        <v>0</v>
      </c>
      <c r="BK15" t="s">
        <v>22</v>
      </c>
      <c r="BT15">
        <v>2</v>
      </c>
      <c r="BU15">
        <v>3</v>
      </c>
      <c r="CH15">
        <f t="shared" si="8"/>
        <v>5</v>
      </c>
      <c r="CK15" t="s">
        <v>22</v>
      </c>
      <c r="CU15">
        <v>2</v>
      </c>
      <c r="DF15">
        <f t="shared" si="13"/>
        <v>2</v>
      </c>
      <c r="DK15" t="s">
        <v>35</v>
      </c>
      <c r="EE15">
        <f t="shared" si="9"/>
        <v>0</v>
      </c>
      <c r="EH15" t="s">
        <v>21</v>
      </c>
      <c r="ER15">
        <v>30</v>
      </c>
      <c r="FH15">
        <f t="shared" si="5"/>
        <v>30</v>
      </c>
      <c r="FK15" t="s">
        <v>21</v>
      </c>
      <c r="FU15">
        <v>1</v>
      </c>
      <c r="GJ15">
        <f t="shared" si="1"/>
        <v>1</v>
      </c>
      <c r="GM15" t="s">
        <v>21</v>
      </c>
      <c r="HK15">
        <f t="shared" si="6"/>
        <v>0</v>
      </c>
      <c r="HN15" t="s">
        <v>22</v>
      </c>
      <c r="HX15">
        <v>23</v>
      </c>
      <c r="II15">
        <v>1</v>
      </c>
      <c r="IJ15">
        <f t="shared" si="12"/>
        <v>24</v>
      </c>
      <c r="IM15" t="s">
        <v>35</v>
      </c>
      <c r="JI15">
        <f t="shared" si="7"/>
        <v>0</v>
      </c>
    </row>
    <row r="16" spans="1:269" ht="14.25" x14ac:dyDescent="0.45">
      <c r="B16" t="s">
        <v>26</v>
      </c>
      <c r="Q16">
        <f t="shared" si="0"/>
        <v>0</v>
      </c>
      <c r="T16" t="s">
        <v>26</v>
      </c>
      <c r="AK16">
        <f t="shared" si="3"/>
        <v>0</v>
      </c>
      <c r="AN16" t="s">
        <v>25</v>
      </c>
      <c r="AU16">
        <v>1</v>
      </c>
      <c r="BF16">
        <v>4</v>
      </c>
      <c r="BG16">
        <f t="shared" si="11"/>
        <v>5</v>
      </c>
      <c r="BK16" t="s">
        <v>23</v>
      </c>
      <c r="BT16">
        <v>2</v>
      </c>
      <c r="CH16">
        <f t="shared" si="8"/>
        <v>2</v>
      </c>
      <c r="CK16" t="s">
        <v>23</v>
      </c>
      <c r="DF16">
        <f t="shared" si="13"/>
        <v>0</v>
      </c>
      <c r="DK16" t="s">
        <v>33</v>
      </c>
      <c r="EE16">
        <f t="shared" si="9"/>
        <v>0</v>
      </c>
      <c r="EH16" t="s">
        <v>22</v>
      </c>
      <c r="ES16">
        <v>3</v>
      </c>
      <c r="EY16">
        <v>1</v>
      </c>
      <c r="FH16">
        <f t="shared" si="5"/>
        <v>4</v>
      </c>
      <c r="FK16" t="s">
        <v>22</v>
      </c>
      <c r="FV16">
        <v>6</v>
      </c>
      <c r="FW16">
        <v>1</v>
      </c>
      <c r="GJ16">
        <f t="shared" si="1"/>
        <v>7</v>
      </c>
      <c r="GM16" t="s">
        <v>22</v>
      </c>
      <c r="HK16">
        <f t="shared" si="6"/>
        <v>0</v>
      </c>
      <c r="HN16" t="s">
        <v>23</v>
      </c>
      <c r="IJ16">
        <f t="shared" si="12"/>
        <v>0</v>
      </c>
      <c r="IM16" t="s">
        <v>33</v>
      </c>
      <c r="JI16">
        <f t="shared" si="7"/>
        <v>0</v>
      </c>
    </row>
    <row r="17" spans="2:269" ht="14.25" x14ac:dyDescent="0.45">
      <c r="B17" t="s">
        <v>27</v>
      </c>
      <c r="Q17">
        <f t="shared" si="0"/>
        <v>0</v>
      </c>
      <c r="T17" t="s">
        <v>27</v>
      </c>
      <c r="AK17">
        <f t="shared" si="3"/>
        <v>0</v>
      </c>
      <c r="AN17" t="s">
        <v>24</v>
      </c>
      <c r="AZ17">
        <v>4</v>
      </c>
      <c r="BG17">
        <f t="shared" si="11"/>
        <v>4</v>
      </c>
      <c r="BK17" t="s">
        <v>35</v>
      </c>
      <c r="CH17">
        <f t="shared" si="8"/>
        <v>0</v>
      </c>
      <c r="CK17" t="s">
        <v>35</v>
      </c>
      <c r="DF17">
        <f t="shared" si="13"/>
        <v>0</v>
      </c>
      <c r="DK17" t="s">
        <v>25</v>
      </c>
      <c r="EE17">
        <f t="shared" si="9"/>
        <v>0</v>
      </c>
      <c r="EH17" t="s">
        <v>23</v>
      </c>
      <c r="ET17">
        <v>2</v>
      </c>
      <c r="FH17">
        <f t="shared" si="5"/>
        <v>2</v>
      </c>
      <c r="FK17" t="s">
        <v>23</v>
      </c>
      <c r="GJ17">
        <f t="shared" si="1"/>
        <v>0</v>
      </c>
      <c r="GM17" t="s">
        <v>23</v>
      </c>
      <c r="HK17">
        <f t="shared" si="6"/>
        <v>0</v>
      </c>
      <c r="HN17" t="s">
        <v>35</v>
      </c>
      <c r="IJ17">
        <f t="shared" si="12"/>
        <v>0</v>
      </c>
      <c r="IM17" t="s">
        <v>25</v>
      </c>
      <c r="IP17">
        <v>17</v>
      </c>
      <c r="IR17">
        <v>5</v>
      </c>
      <c r="IS17">
        <v>10</v>
      </c>
      <c r="IT17">
        <v>17</v>
      </c>
      <c r="IU17">
        <v>2</v>
      </c>
      <c r="IV17">
        <v>2</v>
      </c>
      <c r="JA17">
        <v>6</v>
      </c>
      <c r="JB17">
        <v>3</v>
      </c>
      <c r="JE17">
        <v>46</v>
      </c>
      <c r="JG17">
        <v>1</v>
      </c>
      <c r="JH17">
        <v>145</v>
      </c>
      <c r="JI17">
        <f t="shared" si="7"/>
        <v>254</v>
      </c>
    </row>
    <row r="18" spans="2:269" ht="14.25" x14ac:dyDescent="0.45">
      <c r="B18" t="s">
        <v>28</v>
      </c>
      <c r="Q18">
        <f t="shared" si="0"/>
        <v>0</v>
      </c>
      <c r="T18" t="s">
        <v>34</v>
      </c>
      <c r="AK18">
        <f t="shared" si="3"/>
        <v>0</v>
      </c>
      <c r="AN18" t="s">
        <v>31</v>
      </c>
      <c r="AU18">
        <v>1</v>
      </c>
      <c r="BG18">
        <f t="shared" si="11"/>
        <v>1</v>
      </c>
      <c r="BK18" t="s">
        <v>33</v>
      </c>
      <c r="CH18">
        <f t="shared" si="8"/>
        <v>0</v>
      </c>
      <c r="CK18" t="s">
        <v>33</v>
      </c>
      <c r="DA18">
        <v>1</v>
      </c>
      <c r="DF18">
        <f t="shared" si="13"/>
        <v>1</v>
      </c>
      <c r="DK18" t="s">
        <v>24</v>
      </c>
      <c r="EE18">
        <f t="shared" si="9"/>
        <v>0</v>
      </c>
      <c r="EH18" t="s">
        <v>35</v>
      </c>
      <c r="FH18">
        <f t="shared" si="5"/>
        <v>0</v>
      </c>
      <c r="FK18" t="s">
        <v>35</v>
      </c>
      <c r="GJ18">
        <f t="shared" si="1"/>
        <v>0</v>
      </c>
      <c r="GM18" t="s">
        <v>35</v>
      </c>
      <c r="HK18">
        <f t="shared" si="6"/>
        <v>0</v>
      </c>
      <c r="HN18" t="s">
        <v>33</v>
      </c>
      <c r="IA18">
        <v>1</v>
      </c>
      <c r="IJ18">
        <f t="shared" si="12"/>
        <v>1</v>
      </c>
      <c r="IM18" t="s">
        <v>24</v>
      </c>
      <c r="IZ18">
        <v>2</v>
      </c>
      <c r="JI18">
        <f t="shared" si="7"/>
        <v>2</v>
      </c>
    </row>
    <row r="19" spans="2:269" ht="14.25" x14ac:dyDescent="0.45">
      <c r="B19" t="s">
        <v>29</v>
      </c>
      <c r="Q19">
        <f t="shared" si="0"/>
        <v>0</v>
      </c>
      <c r="T19" t="s">
        <v>28</v>
      </c>
      <c r="AK19">
        <f t="shared" ref="AK19:AK21" si="14">SUM(U19:AJ19)</f>
        <v>0</v>
      </c>
      <c r="AN19" t="s">
        <v>26</v>
      </c>
      <c r="BG19">
        <f t="shared" si="11"/>
        <v>0</v>
      </c>
      <c r="BK19" t="s">
        <v>25</v>
      </c>
      <c r="BN19">
        <v>1</v>
      </c>
      <c r="BT19">
        <v>1</v>
      </c>
      <c r="BU19">
        <v>1</v>
      </c>
      <c r="CB19">
        <v>4</v>
      </c>
      <c r="CF19">
        <v>5</v>
      </c>
      <c r="CH19">
        <f t="shared" si="8"/>
        <v>12</v>
      </c>
      <c r="CK19" t="s">
        <v>25</v>
      </c>
      <c r="CN19">
        <v>1</v>
      </c>
      <c r="DC19">
        <v>1</v>
      </c>
      <c r="DF19">
        <f t="shared" si="13"/>
        <v>2</v>
      </c>
      <c r="DK19" t="s">
        <v>31</v>
      </c>
      <c r="EE19">
        <f t="shared" si="9"/>
        <v>0</v>
      </c>
      <c r="EH19" t="s">
        <v>33</v>
      </c>
      <c r="EV19">
        <v>2</v>
      </c>
      <c r="FH19">
        <f t="shared" si="5"/>
        <v>2</v>
      </c>
      <c r="FK19" t="s">
        <v>33</v>
      </c>
      <c r="GJ19">
        <f t="shared" si="1"/>
        <v>0</v>
      </c>
      <c r="GM19" t="s">
        <v>33</v>
      </c>
      <c r="HK19">
        <f t="shared" si="6"/>
        <v>0</v>
      </c>
      <c r="HN19" t="s">
        <v>25</v>
      </c>
      <c r="HW19">
        <v>1</v>
      </c>
      <c r="IE19">
        <v>18</v>
      </c>
      <c r="IF19">
        <v>1</v>
      </c>
      <c r="IG19">
        <v>1</v>
      </c>
      <c r="II19">
        <v>41</v>
      </c>
      <c r="IJ19">
        <f t="shared" si="12"/>
        <v>62</v>
      </c>
      <c r="IM19" t="s">
        <v>31</v>
      </c>
      <c r="JA19">
        <v>14</v>
      </c>
      <c r="JB19">
        <v>1</v>
      </c>
      <c r="JI19">
        <f t="shared" si="7"/>
        <v>15</v>
      </c>
    </row>
    <row r="20" spans="2:269" ht="14.25" x14ac:dyDescent="0.45">
      <c r="T20" t="s">
        <v>29</v>
      </c>
      <c r="AK20">
        <f t="shared" si="14"/>
        <v>0</v>
      </c>
      <c r="AN20" t="s">
        <v>27</v>
      </c>
      <c r="BG20">
        <f t="shared" si="11"/>
        <v>0</v>
      </c>
      <c r="BK20" t="s">
        <v>24</v>
      </c>
      <c r="BS20">
        <v>1</v>
      </c>
      <c r="BZ20">
        <v>19</v>
      </c>
      <c r="CH20">
        <f t="shared" si="8"/>
        <v>20</v>
      </c>
      <c r="CK20" t="s">
        <v>24</v>
      </c>
      <c r="CZ20">
        <v>18</v>
      </c>
      <c r="DF20">
        <f t="shared" si="13"/>
        <v>18</v>
      </c>
      <c r="DK20" t="s">
        <v>26</v>
      </c>
      <c r="EE20">
        <f t="shared" si="9"/>
        <v>0</v>
      </c>
      <c r="EH20" t="s">
        <v>25</v>
      </c>
      <c r="EJ20">
        <v>70</v>
      </c>
      <c r="EO20">
        <v>6</v>
      </c>
      <c r="ER20">
        <v>17</v>
      </c>
      <c r="ES20">
        <v>5</v>
      </c>
      <c r="EW20">
        <v>1</v>
      </c>
      <c r="EY20">
        <v>2</v>
      </c>
      <c r="EZ20">
        <v>1</v>
      </c>
      <c r="FC20">
        <v>26</v>
      </c>
      <c r="FE20">
        <v>1</v>
      </c>
      <c r="FF20">
        <v>65</v>
      </c>
      <c r="FH20">
        <f t="shared" si="5"/>
        <v>194</v>
      </c>
      <c r="FK20" t="s">
        <v>25</v>
      </c>
      <c r="GJ20">
        <f t="shared" si="1"/>
        <v>0</v>
      </c>
      <c r="GM20" t="s">
        <v>25</v>
      </c>
      <c r="HK20">
        <f t="shared" si="6"/>
        <v>0</v>
      </c>
      <c r="HN20" t="s">
        <v>24</v>
      </c>
      <c r="IC20">
        <v>3</v>
      </c>
      <c r="IJ20">
        <f t="shared" si="12"/>
        <v>3</v>
      </c>
      <c r="IM20" t="s">
        <v>26</v>
      </c>
      <c r="JB20">
        <v>6</v>
      </c>
      <c r="JI20">
        <f t="shared" si="7"/>
        <v>6</v>
      </c>
    </row>
    <row r="21" spans="2:269" ht="14.25" x14ac:dyDescent="0.45">
      <c r="T21" t="s">
        <v>41</v>
      </c>
      <c r="AK21">
        <f t="shared" si="14"/>
        <v>0</v>
      </c>
      <c r="AN21" t="s">
        <v>28</v>
      </c>
      <c r="BG21">
        <f t="shared" si="11"/>
        <v>0</v>
      </c>
      <c r="BK21" t="s">
        <v>31</v>
      </c>
      <c r="BT21">
        <v>7</v>
      </c>
      <c r="BU21">
        <v>1</v>
      </c>
      <c r="CA21">
        <v>4</v>
      </c>
      <c r="CC21">
        <v>3</v>
      </c>
      <c r="CF21">
        <v>1</v>
      </c>
      <c r="CH21">
        <f t="shared" si="8"/>
        <v>16</v>
      </c>
      <c r="CK21" t="s">
        <v>31</v>
      </c>
      <c r="DA21">
        <v>57</v>
      </c>
      <c r="DC21">
        <v>2</v>
      </c>
      <c r="DF21">
        <f t="shared" si="13"/>
        <v>59</v>
      </c>
      <c r="DK21" t="s">
        <v>27</v>
      </c>
      <c r="EE21">
        <f t="shared" si="9"/>
        <v>0</v>
      </c>
      <c r="EH21" t="s">
        <v>24</v>
      </c>
      <c r="EX21">
        <v>8</v>
      </c>
      <c r="FF21">
        <v>1</v>
      </c>
      <c r="FH21">
        <f t="shared" si="5"/>
        <v>9</v>
      </c>
      <c r="FK21" t="s">
        <v>24</v>
      </c>
      <c r="GA21">
        <v>10</v>
      </c>
      <c r="GJ21">
        <f t="shared" si="1"/>
        <v>10</v>
      </c>
      <c r="GM21" t="s">
        <v>24</v>
      </c>
      <c r="HK21">
        <f t="shared" si="6"/>
        <v>0</v>
      </c>
      <c r="HN21" t="s">
        <v>31</v>
      </c>
      <c r="ID21">
        <v>4</v>
      </c>
      <c r="IJ21">
        <f t="shared" si="12"/>
        <v>4</v>
      </c>
      <c r="IM21" t="s">
        <v>138</v>
      </c>
      <c r="JI21">
        <f t="shared" si="7"/>
        <v>0</v>
      </c>
    </row>
    <row r="22" spans="2:269" ht="14.25" x14ac:dyDescent="0.45">
      <c r="AN22" t="s">
        <v>34</v>
      </c>
      <c r="BG22">
        <f t="shared" si="11"/>
        <v>0</v>
      </c>
      <c r="BK22" t="s">
        <v>26</v>
      </c>
      <c r="BT22">
        <v>3</v>
      </c>
      <c r="BU22">
        <v>1</v>
      </c>
      <c r="CB22">
        <v>5</v>
      </c>
      <c r="CF22">
        <v>3</v>
      </c>
      <c r="CH22">
        <f t="shared" si="8"/>
        <v>12</v>
      </c>
      <c r="CK22" t="s">
        <v>26</v>
      </c>
      <c r="CS22">
        <v>1</v>
      </c>
      <c r="CT22">
        <v>2</v>
      </c>
      <c r="DB22">
        <f>SUM(42+86)</f>
        <v>128</v>
      </c>
      <c r="DE22">
        <v>4</v>
      </c>
      <c r="DF22">
        <f t="shared" si="13"/>
        <v>135</v>
      </c>
      <c r="DK22" t="s">
        <v>28</v>
      </c>
      <c r="EE22">
        <f t="shared" si="9"/>
        <v>0</v>
      </c>
      <c r="EH22" t="s">
        <v>31</v>
      </c>
      <c r="ER22">
        <v>2</v>
      </c>
      <c r="EY22">
        <v>219</v>
      </c>
      <c r="EZ22">
        <v>2</v>
      </c>
      <c r="FC22">
        <v>2</v>
      </c>
      <c r="FF22">
        <v>5</v>
      </c>
      <c r="FG22">
        <v>2</v>
      </c>
      <c r="FH22">
        <f t="shared" si="5"/>
        <v>232</v>
      </c>
      <c r="FK22" t="s">
        <v>31</v>
      </c>
      <c r="GJ22">
        <f t="shared" si="1"/>
        <v>0</v>
      </c>
      <c r="GM22" t="s">
        <v>31</v>
      </c>
      <c r="HK22">
        <f t="shared" si="6"/>
        <v>0</v>
      </c>
      <c r="HN22" t="s">
        <v>26</v>
      </c>
      <c r="IE22">
        <v>225</v>
      </c>
      <c r="IJ22">
        <f t="shared" si="12"/>
        <v>225</v>
      </c>
      <c r="IM22" t="s">
        <v>43</v>
      </c>
      <c r="JI22">
        <f t="shared" si="7"/>
        <v>0</v>
      </c>
    </row>
    <row r="23" spans="2:269" ht="14.25" x14ac:dyDescent="0.45">
      <c r="AN23" t="s">
        <v>29</v>
      </c>
      <c r="AQ23">
        <v>2</v>
      </c>
      <c r="AS23">
        <v>1</v>
      </c>
      <c r="AT23">
        <v>1</v>
      </c>
      <c r="AU23">
        <v>1</v>
      </c>
      <c r="BA23">
        <v>3</v>
      </c>
      <c r="BF23">
        <v>3</v>
      </c>
      <c r="BG23">
        <f t="shared" si="11"/>
        <v>11</v>
      </c>
      <c r="BK23" t="s">
        <v>27</v>
      </c>
      <c r="CH23">
        <f t="shared" si="8"/>
        <v>0</v>
      </c>
      <c r="CK23" t="s">
        <v>27</v>
      </c>
      <c r="DF23">
        <f t="shared" si="13"/>
        <v>0</v>
      </c>
      <c r="DK23" t="s">
        <v>34</v>
      </c>
      <c r="EE23">
        <f t="shared" si="9"/>
        <v>0</v>
      </c>
      <c r="EH23" t="s">
        <v>26</v>
      </c>
      <c r="EY23">
        <v>3</v>
      </c>
      <c r="EZ23">
        <v>80</v>
      </c>
      <c r="FD23">
        <v>1</v>
      </c>
      <c r="FH23">
        <f t="shared" si="5"/>
        <v>84</v>
      </c>
      <c r="FK23" t="s">
        <v>26</v>
      </c>
      <c r="GC23">
        <v>1</v>
      </c>
      <c r="GJ23">
        <f t="shared" si="1"/>
        <v>1</v>
      </c>
      <c r="GM23" t="s">
        <v>26</v>
      </c>
      <c r="HK23">
        <f t="shared" si="6"/>
        <v>0</v>
      </c>
      <c r="HN23" t="s">
        <v>27</v>
      </c>
      <c r="IJ23">
        <f t="shared" si="12"/>
        <v>0</v>
      </c>
      <c r="IM23" t="s">
        <v>27</v>
      </c>
      <c r="JI23">
        <f t="shared" si="7"/>
        <v>0</v>
      </c>
    </row>
    <row r="24" spans="2:269" ht="14.25" x14ac:dyDescent="0.45">
      <c r="BK24" t="s">
        <v>28</v>
      </c>
      <c r="CH24">
        <f t="shared" si="8"/>
        <v>0</v>
      </c>
      <c r="CK24" t="s">
        <v>28</v>
      </c>
      <c r="DF24">
        <f t="shared" si="13"/>
        <v>0</v>
      </c>
      <c r="DK24" t="s">
        <v>29</v>
      </c>
      <c r="EE24">
        <f t="shared" si="9"/>
        <v>0</v>
      </c>
      <c r="EH24" t="s">
        <v>138</v>
      </c>
      <c r="FH24">
        <f t="shared" si="5"/>
        <v>0</v>
      </c>
      <c r="FK24" t="s">
        <v>43</v>
      </c>
      <c r="GJ24">
        <f t="shared" si="1"/>
        <v>0</v>
      </c>
      <c r="GM24" t="s">
        <v>43</v>
      </c>
      <c r="HK24">
        <f t="shared" si="6"/>
        <v>0</v>
      </c>
      <c r="HN24" t="s">
        <v>28</v>
      </c>
      <c r="IJ24">
        <f t="shared" si="12"/>
        <v>0</v>
      </c>
      <c r="IM24" t="s">
        <v>28</v>
      </c>
      <c r="JI24">
        <f t="shared" si="7"/>
        <v>0</v>
      </c>
    </row>
    <row r="25" spans="2:269" ht="14.25" x14ac:dyDescent="0.45">
      <c r="BK25" t="s">
        <v>34</v>
      </c>
      <c r="CH25">
        <f t="shared" si="8"/>
        <v>0</v>
      </c>
      <c r="CK25" t="s">
        <v>29</v>
      </c>
      <c r="CT25">
        <v>1</v>
      </c>
      <c r="CX25">
        <v>2</v>
      </c>
      <c r="DA25">
        <v>5</v>
      </c>
      <c r="DB25">
        <v>4</v>
      </c>
      <c r="DE25">
        <v>5</v>
      </c>
      <c r="DF25">
        <f t="shared" si="13"/>
        <v>17</v>
      </c>
      <c r="EH25" t="s">
        <v>43</v>
      </c>
      <c r="FH25">
        <f t="shared" si="5"/>
        <v>0</v>
      </c>
      <c r="FK25" t="s">
        <v>27</v>
      </c>
      <c r="GJ25">
        <f t="shared" si="1"/>
        <v>0</v>
      </c>
      <c r="GM25" t="s">
        <v>27</v>
      </c>
      <c r="HK25">
        <f t="shared" si="6"/>
        <v>0</v>
      </c>
      <c r="HN25" t="s">
        <v>34</v>
      </c>
      <c r="IJ25">
        <f t="shared" si="12"/>
        <v>0</v>
      </c>
      <c r="IM25" t="s">
        <v>29</v>
      </c>
      <c r="IU25">
        <v>1</v>
      </c>
      <c r="JA25">
        <v>1</v>
      </c>
      <c r="JB25">
        <v>1</v>
      </c>
      <c r="JH25">
        <v>3</v>
      </c>
      <c r="JI25">
        <f t="shared" ref="JI25" si="15">SUM(IN25:JH25)</f>
        <v>6</v>
      </c>
    </row>
    <row r="26" spans="2:269" ht="14.25" x14ac:dyDescent="0.45">
      <c r="BK26" t="s">
        <v>29</v>
      </c>
      <c r="BN26">
        <v>2</v>
      </c>
      <c r="BT26">
        <v>56</v>
      </c>
      <c r="BU26">
        <v>24</v>
      </c>
      <c r="BW26">
        <v>5</v>
      </c>
      <c r="BX26">
        <v>1</v>
      </c>
      <c r="BY26">
        <v>1</v>
      </c>
      <c r="CA26">
        <v>1</v>
      </c>
      <c r="CB26">
        <v>26</v>
      </c>
      <c r="CC26">
        <v>11</v>
      </c>
      <c r="CF26">
        <v>84</v>
      </c>
      <c r="CH26">
        <f t="shared" si="8"/>
        <v>211</v>
      </c>
      <c r="EH26" t="s">
        <v>27</v>
      </c>
      <c r="FH26">
        <f t="shared" si="5"/>
        <v>0</v>
      </c>
      <c r="FK26" t="s">
        <v>28</v>
      </c>
      <c r="GJ26">
        <f t="shared" si="1"/>
        <v>0</v>
      </c>
      <c r="GM26" t="s">
        <v>28</v>
      </c>
      <c r="HK26">
        <f t="shared" si="6"/>
        <v>0</v>
      </c>
      <c r="HN26" t="s">
        <v>29</v>
      </c>
      <c r="HT26">
        <v>1</v>
      </c>
      <c r="HW26">
        <v>1</v>
      </c>
      <c r="HX26">
        <v>1</v>
      </c>
      <c r="ID26">
        <v>2</v>
      </c>
      <c r="IE26">
        <v>2</v>
      </c>
      <c r="IF26">
        <v>2</v>
      </c>
      <c r="II26">
        <v>14</v>
      </c>
      <c r="IJ26">
        <f t="shared" si="12"/>
        <v>23</v>
      </c>
    </row>
    <row r="27" spans="2:269" ht="15" customHeight="1" x14ac:dyDescent="0.45">
      <c r="BK27" t="s">
        <v>42</v>
      </c>
      <c r="CH27">
        <f t="shared" si="8"/>
        <v>0</v>
      </c>
      <c r="EH27" t="s">
        <v>28</v>
      </c>
      <c r="FH27">
        <f t="shared" si="5"/>
        <v>0</v>
      </c>
      <c r="FK27" t="s">
        <v>34</v>
      </c>
      <c r="GJ27">
        <f t="shared" si="1"/>
        <v>0</v>
      </c>
      <c r="GM27" t="s">
        <v>34</v>
      </c>
      <c r="HK27">
        <f t="shared" si="6"/>
        <v>0</v>
      </c>
    </row>
    <row r="28" spans="2:269" ht="15" customHeight="1" x14ac:dyDescent="0.45">
      <c r="EH28" t="s">
        <v>34</v>
      </c>
      <c r="FH28">
        <f t="shared" si="5"/>
        <v>0</v>
      </c>
      <c r="FK28" t="s">
        <v>29</v>
      </c>
      <c r="GJ28">
        <f t="shared" si="1"/>
        <v>0</v>
      </c>
      <c r="GM28" t="s">
        <v>29</v>
      </c>
      <c r="HK28">
        <f t="shared" si="6"/>
        <v>0</v>
      </c>
    </row>
    <row r="29" spans="2:269" ht="15" customHeight="1" x14ac:dyDescent="0.45">
      <c r="EH29" t="s">
        <v>29</v>
      </c>
      <c r="EJ29">
        <v>1</v>
      </c>
      <c r="EK29">
        <v>3</v>
      </c>
      <c r="EL29">
        <v>1</v>
      </c>
      <c r="ER29">
        <v>2</v>
      </c>
      <c r="EV29">
        <v>1</v>
      </c>
      <c r="EW29">
        <v>3</v>
      </c>
      <c r="EY29">
        <v>2</v>
      </c>
      <c r="EZ29">
        <v>4</v>
      </c>
      <c r="FD29">
        <v>2</v>
      </c>
      <c r="FF29">
        <v>8</v>
      </c>
      <c r="FH29">
        <f t="shared" si="5"/>
        <v>27</v>
      </c>
      <c r="FK29" t="s">
        <v>42</v>
      </c>
    </row>
    <row r="30" spans="2:269" ht="15" customHeight="1" x14ac:dyDescent="0.45">
      <c r="EH30" t="s">
        <v>42</v>
      </c>
    </row>
    <row r="33" spans="143:143" ht="15" customHeight="1" x14ac:dyDescent="0.45">
      <c r="EM33" t="s">
        <v>139</v>
      </c>
    </row>
    <row r="34" spans="143:143" ht="15" customHeight="1" x14ac:dyDescent="0.45">
      <c r="EM34" t="s">
        <v>140</v>
      </c>
    </row>
    <row r="35" spans="143:143" ht="15" customHeight="1" x14ac:dyDescent="0.45">
      <c r="EM35" t="s">
        <v>141</v>
      </c>
    </row>
    <row r="36" spans="143:143" ht="15" customHeight="1" x14ac:dyDescent="0.45">
      <c r="EM36" t="s">
        <v>142</v>
      </c>
    </row>
    <row r="37" spans="143:143" ht="15" customHeight="1" x14ac:dyDescent="0.45">
      <c r="EM37" t="s">
        <v>143</v>
      </c>
    </row>
  </sheetData>
  <mergeCells count="12">
    <mergeCell ref="DO12:DS12"/>
    <mergeCell ref="EK4:EL4"/>
    <mergeCell ref="FM4:FN4"/>
    <mergeCell ref="HP4:HQ4"/>
    <mergeCell ref="IO4:IP4"/>
    <mergeCell ref="CP4:CR4"/>
    <mergeCell ref="DN4:DO4"/>
    <mergeCell ref="A6:A7"/>
    <mergeCell ref="E4:H4"/>
    <mergeCell ref="V4:W4"/>
    <mergeCell ref="AP4:AQ4"/>
    <mergeCell ref="BP4:BQ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Pictures Accuracy Template</vt:lpstr>
      <vt:lpstr>Original Pictures</vt:lpstr>
      <vt:lpstr>Original Pictures Accuracy </vt:lpstr>
      <vt:lpstr>4-15 Pictures</vt:lpstr>
      <vt:lpstr>4-15 Pictures Accuracy</vt:lpstr>
      <vt:lpstr>6-6 Pictures</vt:lpstr>
      <vt:lpstr>6-6 Pictures Accuracy</vt:lpstr>
      <vt:lpstr>7-31 Pictures</vt:lpstr>
      <vt:lpstr>7-31 Pictures Accuracy</vt:lpstr>
      <vt:lpstr>10-10 Pictures</vt:lpstr>
      <vt:lpstr>10-10 Pictures Accuracy</vt:lpstr>
      <vt:lpstr>1-12-26 Pictures</vt:lpstr>
      <vt:lpstr>1-12-26 Pictures Accuracy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Gabino Olalde Sierra</cp:lastModifiedBy>
  <cp:revision/>
  <dcterms:created xsi:type="dcterms:W3CDTF">2026-01-06T20:32:47Z</dcterms:created>
  <dcterms:modified xsi:type="dcterms:W3CDTF">2026-03-09T19:53:01Z</dcterms:modified>
  <cp:category/>
  <cp:contentStatus/>
</cp:coreProperties>
</file>