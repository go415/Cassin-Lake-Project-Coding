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Picture Detection Matrix/"/>
    </mc:Choice>
  </mc:AlternateContent>
  <xr:revisionPtr revIDLastSave="156" documentId="11_E60897F41BE170836B02CE998F75CCDC64E183C8" xr6:coauthVersionLast="47" xr6:coauthVersionMax="47" xr10:uidLastSave="{4E0B0849-BC32-497C-81F7-0802232D2BED}"/>
  <bookViews>
    <workbookView xWindow="-98" yWindow="-98" windowWidth="21795" windowHeight="13875" firstSheet="4" activeTab="9" xr2:uid="{00000000-000D-0000-FFFF-FFFF00000000}"/>
  </bookViews>
  <sheets>
    <sheet name="Camera 1" sheetId="1" r:id="rId1"/>
    <sheet name="Camera 2" sheetId="2" r:id="rId2"/>
    <sheet name="Camera 3" sheetId="3" r:id="rId3"/>
    <sheet name="Camera 5" sheetId="4" r:id="rId4"/>
    <sheet name="Camera 6" sheetId="5" r:id="rId5"/>
    <sheet name="Camera 7" sheetId="6" r:id="rId6"/>
    <sheet name="Camera 8" sheetId="7" r:id="rId7"/>
    <sheet name="Camera 11" sheetId="8" r:id="rId8"/>
    <sheet name="Camera 12" sheetId="9" r:id="rId9"/>
    <sheet name="Camera 13" sheetId="10" r:id="rId10"/>
    <sheet name="Camera 14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7" l="1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" i="7"/>
  <c r="P5" i="5"/>
  <c r="R16" i="11"/>
  <c r="R15" i="11"/>
  <c r="R14" i="11"/>
  <c r="R13" i="11"/>
  <c r="R12" i="11"/>
  <c r="R11" i="11"/>
  <c r="R10" i="11"/>
  <c r="R9" i="11"/>
  <c r="R8" i="11"/>
  <c r="R7" i="11"/>
  <c r="R6" i="11"/>
  <c r="R5" i="11"/>
  <c r="R4" i="11"/>
  <c r="R3" i="11"/>
  <c r="R2" i="11"/>
  <c r="R17" i="10"/>
  <c r="R16" i="10"/>
  <c r="R15" i="10"/>
  <c r="R14" i="10"/>
  <c r="R13" i="10"/>
  <c r="R12" i="10"/>
  <c r="R11" i="10"/>
  <c r="R10" i="10"/>
  <c r="R9" i="10"/>
  <c r="R8" i="10"/>
  <c r="R7" i="10"/>
  <c r="R6" i="10"/>
  <c r="R5" i="10"/>
  <c r="R4" i="10"/>
  <c r="R3" i="10"/>
  <c r="R2" i="10"/>
  <c r="J9" i="8"/>
  <c r="J8" i="8"/>
  <c r="J7" i="8"/>
  <c r="J6" i="8"/>
  <c r="J5" i="8"/>
  <c r="J4" i="8"/>
  <c r="J3" i="8"/>
  <c r="J2" i="8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U2" i="6"/>
  <c r="P15" i="5"/>
  <c r="P14" i="5"/>
  <c r="M13" i="5"/>
  <c r="P13" i="5" s="1"/>
  <c r="P12" i="5"/>
  <c r="P11" i="5"/>
  <c r="P10" i="5"/>
  <c r="P9" i="5"/>
  <c r="P8" i="5"/>
  <c r="P7" i="5"/>
  <c r="P6" i="5"/>
  <c r="P4" i="5"/>
  <c r="P3" i="5"/>
  <c r="P2" i="5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  <c r="J9" i="3"/>
  <c r="J8" i="3"/>
  <c r="J7" i="3"/>
  <c r="J6" i="3"/>
  <c r="J5" i="3"/>
  <c r="J4" i="3"/>
  <c r="J3" i="3"/>
  <c r="J2" i="3"/>
  <c r="I9" i="2"/>
  <c r="I8" i="2"/>
  <c r="I7" i="2"/>
  <c r="I6" i="2"/>
  <c r="I5" i="2"/>
  <c r="I4" i="2"/>
  <c r="I3" i="2"/>
  <c r="I2" i="2"/>
  <c r="E4" i="1"/>
  <c r="E3" i="1"/>
  <c r="E2" i="1"/>
</calcChain>
</file>

<file path=xl/sharedStrings.xml><?xml version="1.0" encoding="utf-8"?>
<sst xmlns="http://schemas.openxmlformats.org/spreadsheetml/2006/main" count="275" uniqueCount="30">
  <si>
    <t>Animal Species</t>
  </si>
  <si>
    <t>Person</t>
  </si>
  <si>
    <t>Other/Object</t>
  </si>
  <si>
    <t>Unidentified</t>
  </si>
  <si>
    <t>Total</t>
  </si>
  <si>
    <t>Bird</t>
  </si>
  <si>
    <t>Deer</t>
  </si>
  <si>
    <t>Dog</t>
  </si>
  <si>
    <t>Squirrel</t>
  </si>
  <si>
    <t>Skunk</t>
  </si>
  <si>
    <t>Bobcat</t>
  </si>
  <si>
    <t>Cougar</t>
  </si>
  <si>
    <t>Cow</t>
  </si>
  <si>
    <t>Coyote</t>
  </si>
  <si>
    <t>Rabbit</t>
  </si>
  <si>
    <t>Armadillo</t>
  </si>
  <si>
    <t>Boar</t>
  </si>
  <si>
    <t>Fox</t>
  </si>
  <si>
    <t>Raccoon</t>
  </si>
  <si>
    <t>Rodent</t>
  </si>
  <si>
    <t xml:space="preserve">Total </t>
  </si>
  <si>
    <t xml:space="preserve">Armadillo </t>
  </si>
  <si>
    <t>Opossum</t>
  </si>
  <si>
    <t xml:space="preserve">Beaver </t>
  </si>
  <si>
    <t>Cat</t>
  </si>
  <si>
    <t>Corvid</t>
  </si>
  <si>
    <t>Camera lost/stolen</t>
  </si>
  <si>
    <t>Weasel</t>
  </si>
  <si>
    <t xml:space="preserve">Animal Species </t>
  </si>
  <si>
    <t>Raptor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</si>
</sst>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F20" sqref="F20"/>
    </sheetView>
  </sheetViews>
  <sheetFormatPr defaultRowHeight="14.25" x14ac:dyDescent="0.45"/>
  <cols>
    <col min="1" max="1" width="14.265625" bestFit="1" customWidth="1"/>
    <col min="2" max="2" width="7.1328125" bestFit="1" customWidth="1"/>
    <col min="3" max="3" width="12.86328125" bestFit="1" customWidth="1"/>
    <col min="4" max="4" width="12" bestFit="1" customWidth="1"/>
    <col min="5" max="5" width="5.597656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1</v>
      </c>
      <c r="B2">
        <v>3</v>
      </c>
      <c r="E2">
        <f>SUM(B2:D2)</f>
        <v>3</v>
      </c>
    </row>
    <row r="3" spans="1:5" x14ac:dyDescent="0.45">
      <c r="A3" t="s">
        <v>2</v>
      </c>
      <c r="D3">
        <v>1</v>
      </c>
      <c r="E3">
        <f>SUM(B3:D3)</f>
        <v>1</v>
      </c>
    </row>
    <row r="4" spans="1:5" x14ac:dyDescent="0.45">
      <c r="A4" t="s">
        <v>3</v>
      </c>
      <c r="E4">
        <f>SUM(B4:D4)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490B-9078-461E-8C66-E053C8BB725F}">
  <dimension ref="A1:I9"/>
  <sheetViews>
    <sheetView workbookViewId="0">
      <selection activeCell="F17" sqref="F17"/>
    </sheetView>
  </sheetViews>
  <sheetFormatPr defaultRowHeight="14.25" x14ac:dyDescent="0.45"/>
  <cols>
    <col min="1" max="1" width="14.265625" bestFit="1" customWidth="1"/>
    <col min="2" max="2" width="4.73046875" bestFit="1" customWidth="1"/>
    <col min="3" max="3" width="5.265625" bestFit="1" customWidth="1"/>
    <col min="4" max="4" width="4.59765625" bestFit="1" customWidth="1"/>
    <col min="5" max="5" width="12.86328125" bestFit="1" customWidth="1"/>
    <col min="6" max="6" width="7.1328125" bestFit="1" customWidth="1"/>
    <col min="7" max="7" width="7.86328125" bestFit="1" customWidth="1"/>
    <col min="8" max="8" width="12" bestFit="1" customWidth="1"/>
    <col min="9" max="9" width="5.59765625" bestFit="1" customWidth="1"/>
  </cols>
  <sheetData>
    <row r="1" spans="1:9" x14ac:dyDescent="0.45">
      <c r="A1" t="s">
        <v>0</v>
      </c>
      <c r="B1" t="s">
        <v>5</v>
      </c>
      <c r="C1" t="s">
        <v>6</v>
      </c>
      <c r="D1" t="s">
        <v>7</v>
      </c>
      <c r="E1" t="s">
        <v>2</v>
      </c>
      <c r="F1" t="s">
        <v>1</v>
      </c>
      <c r="G1" t="s">
        <v>8</v>
      </c>
      <c r="H1" t="s">
        <v>3</v>
      </c>
      <c r="I1" t="s">
        <v>4</v>
      </c>
    </row>
    <row r="2" spans="1:9" x14ac:dyDescent="0.45">
      <c r="A2" t="s">
        <v>5</v>
      </c>
      <c r="B2">
        <v>4</v>
      </c>
      <c r="C2">
        <v>1</v>
      </c>
      <c r="I2">
        <f t="shared" ref="I2:I9" si="0">SUM(B2:H2)</f>
        <v>5</v>
      </c>
    </row>
    <row r="3" spans="1:9" x14ac:dyDescent="0.45">
      <c r="A3" t="s">
        <v>6</v>
      </c>
      <c r="I3">
        <f t="shared" si="0"/>
        <v>0</v>
      </c>
    </row>
    <row r="4" spans="1:9" x14ac:dyDescent="0.45">
      <c r="A4" t="s">
        <v>7</v>
      </c>
      <c r="I4">
        <f t="shared" si="0"/>
        <v>0</v>
      </c>
    </row>
    <row r="5" spans="1:9" x14ac:dyDescent="0.45">
      <c r="A5" t="s">
        <v>2</v>
      </c>
      <c r="B5">
        <v>2</v>
      </c>
      <c r="H5">
        <v>7</v>
      </c>
      <c r="I5">
        <f t="shared" si="0"/>
        <v>9</v>
      </c>
    </row>
    <row r="6" spans="1:9" x14ac:dyDescent="0.45">
      <c r="A6" t="s">
        <v>1</v>
      </c>
      <c r="F6">
        <v>4</v>
      </c>
      <c r="G6">
        <v>3</v>
      </c>
      <c r="I6">
        <f t="shared" si="0"/>
        <v>7</v>
      </c>
    </row>
    <row r="7" spans="1:9" x14ac:dyDescent="0.45">
      <c r="A7" t="s">
        <v>8</v>
      </c>
      <c r="I7">
        <f t="shared" si="0"/>
        <v>0</v>
      </c>
    </row>
    <row r="8" spans="1:9" x14ac:dyDescent="0.45">
      <c r="A8" t="s">
        <v>9</v>
      </c>
      <c r="I8">
        <f t="shared" si="0"/>
        <v>0</v>
      </c>
    </row>
    <row r="9" spans="1:9" x14ac:dyDescent="0.45">
      <c r="A9" t="s">
        <v>3</v>
      </c>
      <c r="I9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E0F6-B1A6-4742-92FA-2C06B5A84C3A}">
  <dimension ref="A1:J9"/>
  <sheetViews>
    <sheetView workbookViewId="0">
      <selection activeCell="I17" sqref="I17"/>
    </sheetView>
  </sheetViews>
  <sheetFormatPr defaultRowHeight="14.25" x14ac:dyDescent="0.45"/>
  <cols>
    <col min="1" max="1" width="14.265625" bestFit="1" customWidth="1"/>
    <col min="2" max="3" width="7.265625" bestFit="1" customWidth="1"/>
    <col min="4" max="4" width="5" bestFit="1" customWidth="1"/>
    <col min="5" max="5" width="7.265625" bestFit="1" customWidth="1"/>
    <col min="6" max="6" width="12.86328125" bestFit="1" customWidth="1"/>
    <col min="7" max="7" width="7.1328125" bestFit="1" customWidth="1"/>
    <col min="8" max="8" width="6.86328125" bestFit="1" customWidth="1"/>
    <col min="9" max="9" width="12" bestFit="1" customWidth="1"/>
    <col min="10" max="10" width="5.59765625" bestFit="1" customWidth="1"/>
  </cols>
  <sheetData>
    <row r="1" spans="1:10" x14ac:dyDescent="0.4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2</v>
      </c>
      <c r="G1" t="s">
        <v>1</v>
      </c>
      <c r="H1" t="s">
        <v>14</v>
      </c>
      <c r="I1" t="s">
        <v>3</v>
      </c>
      <c r="J1" t="s">
        <v>4</v>
      </c>
    </row>
    <row r="2" spans="1:10" x14ac:dyDescent="0.45">
      <c r="A2" t="s">
        <v>10</v>
      </c>
      <c r="J2">
        <f t="shared" ref="J2:J9" si="0">SUM(B2:I2)</f>
        <v>0</v>
      </c>
    </row>
    <row r="3" spans="1:10" x14ac:dyDescent="0.45">
      <c r="A3" t="s">
        <v>11</v>
      </c>
      <c r="J3">
        <f t="shared" si="0"/>
        <v>0</v>
      </c>
    </row>
    <row r="4" spans="1:10" x14ac:dyDescent="0.45">
      <c r="A4" t="s">
        <v>12</v>
      </c>
      <c r="J4">
        <f t="shared" si="0"/>
        <v>0</v>
      </c>
    </row>
    <row r="5" spans="1:10" x14ac:dyDescent="0.45">
      <c r="A5" t="s">
        <v>13</v>
      </c>
      <c r="E5">
        <v>4</v>
      </c>
      <c r="J5">
        <f t="shared" si="0"/>
        <v>4</v>
      </c>
    </row>
    <row r="6" spans="1:10" x14ac:dyDescent="0.45">
      <c r="A6" t="s">
        <v>2</v>
      </c>
      <c r="E6">
        <v>1</v>
      </c>
      <c r="I6">
        <v>4</v>
      </c>
      <c r="J6">
        <f t="shared" si="0"/>
        <v>5</v>
      </c>
    </row>
    <row r="7" spans="1:10" x14ac:dyDescent="0.45">
      <c r="A7" t="s">
        <v>1</v>
      </c>
      <c r="G7">
        <v>4</v>
      </c>
      <c r="J7">
        <f t="shared" si="0"/>
        <v>4</v>
      </c>
    </row>
    <row r="8" spans="1:10" x14ac:dyDescent="0.45">
      <c r="A8" t="s">
        <v>14</v>
      </c>
      <c r="E8">
        <v>1</v>
      </c>
      <c r="J8">
        <f t="shared" si="0"/>
        <v>1</v>
      </c>
    </row>
    <row r="9" spans="1:10" x14ac:dyDescent="0.45">
      <c r="A9" t="s">
        <v>3</v>
      </c>
      <c r="B9">
        <v>2</v>
      </c>
      <c r="C9">
        <v>1</v>
      </c>
      <c r="D9">
        <v>1</v>
      </c>
      <c r="E9">
        <v>1</v>
      </c>
      <c r="H9">
        <v>3</v>
      </c>
      <c r="I9">
        <v>3</v>
      </c>
      <c r="J9">
        <f t="shared" si="0"/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4280-A61B-4CCC-AD21-79D74FBD449C}">
  <dimension ref="A1:R17"/>
  <sheetViews>
    <sheetView workbookViewId="0">
      <selection activeCell="K1" sqref="K1"/>
    </sheetView>
  </sheetViews>
  <sheetFormatPr defaultRowHeight="14.25" x14ac:dyDescent="0.45"/>
  <cols>
    <col min="1" max="1" width="14.265625" bestFit="1" customWidth="1"/>
    <col min="2" max="2" width="9.5976562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5" bestFit="1" customWidth="1"/>
    <col min="7" max="7" width="7.265625" bestFit="1" customWidth="1"/>
    <col min="8" max="8" width="5.265625" bestFit="1" customWidth="1"/>
    <col min="9" max="9" width="4.59765625" bestFit="1" customWidth="1"/>
    <col min="10" max="10" width="4.1328125" bestFit="1" customWidth="1"/>
    <col min="11" max="11" width="9.59765625" bestFit="1" customWidth="1"/>
    <col min="12" max="12" width="12.86328125" bestFit="1" customWidth="1"/>
    <col min="13" max="13" width="7.1328125" bestFit="1" customWidth="1"/>
    <col min="14" max="14" width="6.86328125" bestFit="1" customWidth="1"/>
    <col min="15" max="15" width="8.59765625" bestFit="1" customWidth="1"/>
    <col min="16" max="16" width="7.3984375" bestFit="1" customWidth="1"/>
    <col min="17" max="17" width="12" bestFit="1" customWidth="1"/>
    <col min="18" max="18" width="6" bestFit="1" customWidth="1"/>
  </cols>
  <sheetData>
    <row r="1" spans="1:18" x14ac:dyDescent="0.45">
      <c r="A1" t="s">
        <v>0</v>
      </c>
      <c r="B1" t="s">
        <v>15</v>
      </c>
      <c r="C1" t="s">
        <v>5</v>
      </c>
      <c r="D1" t="s">
        <v>16</v>
      </c>
      <c r="E1" t="s">
        <v>10</v>
      </c>
      <c r="F1" t="s">
        <v>12</v>
      </c>
      <c r="G1" t="s">
        <v>13</v>
      </c>
      <c r="H1" t="s">
        <v>6</v>
      </c>
      <c r="I1" t="s">
        <v>7</v>
      </c>
      <c r="J1" t="s">
        <v>17</v>
      </c>
      <c r="K1" t="s">
        <v>22</v>
      </c>
      <c r="L1" t="s">
        <v>2</v>
      </c>
      <c r="M1" t="s">
        <v>1</v>
      </c>
      <c r="N1" t="s">
        <v>14</v>
      </c>
      <c r="O1" t="s">
        <v>18</v>
      </c>
      <c r="P1" t="s">
        <v>19</v>
      </c>
      <c r="Q1" t="s">
        <v>3</v>
      </c>
      <c r="R1" t="s">
        <v>20</v>
      </c>
    </row>
    <row r="2" spans="1:18" x14ac:dyDescent="0.45">
      <c r="A2" t="s">
        <v>21</v>
      </c>
      <c r="O2">
        <v>1</v>
      </c>
      <c r="R2">
        <f t="shared" ref="R2:R17" si="0">SUM(C2:Q2)</f>
        <v>1</v>
      </c>
    </row>
    <row r="3" spans="1:18" x14ac:dyDescent="0.45">
      <c r="A3" t="s">
        <v>5</v>
      </c>
      <c r="C3">
        <v>20</v>
      </c>
      <c r="G3">
        <v>1</v>
      </c>
      <c r="Q3">
        <v>4</v>
      </c>
      <c r="R3">
        <f t="shared" si="0"/>
        <v>25</v>
      </c>
    </row>
    <row r="4" spans="1:18" x14ac:dyDescent="0.45">
      <c r="A4" t="s">
        <v>16</v>
      </c>
      <c r="D4">
        <v>1</v>
      </c>
      <c r="G4">
        <v>24</v>
      </c>
      <c r="H4">
        <v>9</v>
      </c>
      <c r="I4">
        <v>1</v>
      </c>
      <c r="L4">
        <v>9</v>
      </c>
      <c r="N4">
        <v>3</v>
      </c>
      <c r="Q4">
        <v>3</v>
      </c>
      <c r="R4">
        <f t="shared" si="0"/>
        <v>50</v>
      </c>
    </row>
    <row r="5" spans="1:18" x14ac:dyDescent="0.45">
      <c r="A5" t="s">
        <v>10</v>
      </c>
      <c r="G5">
        <v>1</v>
      </c>
      <c r="R5">
        <f t="shared" si="0"/>
        <v>1</v>
      </c>
    </row>
    <row r="6" spans="1:18" x14ac:dyDescent="0.45">
      <c r="A6" t="s">
        <v>12</v>
      </c>
      <c r="R6">
        <f t="shared" si="0"/>
        <v>0</v>
      </c>
    </row>
    <row r="7" spans="1:18" x14ac:dyDescent="0.45">
      <c r="A7" t="s">
        <v>13</v>
      </c>
      <c r="G7">
        <v>7</v>
      </c>
      <c r="R7">
        <f t="shared" si="0"/>
        <v>7</v>
      </c>
    </row>
    <row r="8" spans="1:18" x14ac:dyDescent="0.45">
      <c r="A8" t="s">
        <v>6</v>
      </c>
      <c r="G8">
        <v>2</v>
      </c>
      <c r="H8">
        <v>3</v>
      </c>
      <c r="R8">
        <f t="shared" si="0"/>
        <v>5</v>
      </c>
    </row>
    <row r="9" spans="1:18" x14ac:dyDescent="0.45">
      <c r="A9" t="s">
        <v>7</v>
      </c>
      <c r="G9">
        <v>2</v>
      </c>
      <c r="R9">
        <f t="shared" si="0"/>
        <v>2</v>
      </c>
    </row>
    <row r="10" spans="1:18" x14ac:dyDescent="0.45">
      <c r="A10" t="s">
        <v>17</v>
      </c>
      <c r="R10">
        <f t="shared" si="0"/>
        <v>0</v>
      </c>
    </row>
    <row r="11" spans="1:18" x14ac:dyDescent="0.45">
      <c r="A11" t="s">
        <v>22</v>
      </c>
      <c r="R11">
        <f t="shared" si="0"/>
        <v>0</v>
      </c>
    </row>
    <row r="12" spans="1:18" x14ac:dyDescent="0.45">
      <c r="A12" t="s">
        <v>2</v>
      </c>
      <c r="C12">
        <v>1</v>
      </c>
      <c r="G12">
        <v>1</v>
      </c>
      <c r="H12">
        <v>1</v>
      </c>
      <c r="O12">
        <v>4</v>
      </c>
      <c r="Q12">
        <v>5</v>
      </c>
      <c r="R12">
        <f t="shared" si="0"/>
        <v>12</v>
      </c>
    </row>
    <row r="13" spans="1:18" x14ac:dyDescent="0.45">
      <c r="A13" t="s">
        <v>1</v>
      </c>
      <c r="F13">
        <v>1</v>
      </c>
      <c r="M13">
        <v>19</v>
      </c>
      <c r="R13">
        <f t="shared" si="0"/>
        <v>20</v>
      </c>
    </row>
    <row r="14" spans="1:18" x14ac:dyDescent="0.45">
      <c r="A14" t="s">
        <v>14</v>
      </c>
      <c r="G14">
        <v>7</v>
      </c>
      <c r="H14">
        <v>1</v>
      </c>
      <c r="N14">
        <v>4</v>
      </c>
      <c r="P14">
        <v>3</v>
      </c>
      <c r="Q14">
        <v>1</v>
      </c>
      <c r="R14">
        <f t="shared" si="0"/>
        <v>16</v>
      </c>
    </row>
    <row r="15" spans="1:18" x14ac:dyDescent="0.45">
      <c r="A15" t="s">
        <v>18</v>
      </c>
      <c r="G15">
        <v>3</v>
      </c>
      <c r="H15">
        <v>1</v>
      </c>
      <c r="O15">
        <v>5</v>
      </c>
      <c r="Q15">
        <v>3</v>
      </c>
      <c r="R15">
        <f t="shared" si="0"/>
        <v>12</v>
      </c>
    </row>
    <row r="16" spans="1:18" x14ac:dyDescent="0.45">
      <c r="A16" t="s">
        <v>19</v>
      </c>
      <c r="R16">
        <f t="shared" si="0"/>
        <v>0</v>
      </c>
    </row>
    <row r="17" spans="1:18" x14ac:dyDescent="0.45">
      <c r="A17" t="s">
        <v>3</v>
      </c>
      <c r="C17">
        <v>2</v>
      </c>
      <c r="G17">
        <v>56</v>
      </c>
      <c r="H17">
        <v>24</v>
      </c>
      <c r="J17">
        <v>5</v>
      </c>
      <c r="K17">
        <v>1</v>
      </c>
      <c r="L17">
        <v>1</v>
      </c>
      <c r="N17">
        <v>1</v>
      </c>
      <c r="O17">
        <v>26</v>
      </c>
      <c r="P17">
        <v>11</v>
      </c>
      <c r="Q17">
        <v>84</v>
      </c>
      <c r="R17">
        <f t="shared" si="0"/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0D2A-1694-4405-A4CE-56A1D49712EF}">
  <dimension ref="A1:P15"/>
  <sheetViews>
    <sheetView workbookViewId="0">
      <selection activeCell="J21" sqref="J21"/>
    </sheetView>
  </sheetViews>
  <sheetFormatPr defaultRowHeight="14.25" x14ac:dyDescent="0.45"/>
  <cols>
    <col min="1" max="1" width="14.265625" bestFit="1" customWidth="1"/>
    <col min="2" max="2" width="4.73046875" bestFit="1" customWidth="1"/>
    <col min="3" max="3" width="5.1328125" bestFit="1" customWidth="1"/>
    <col min="4" max="4" width="7.265625" bestFit="1" customWidth="1"/>
    <col min="5" max="5" width="7.265625" customWidth="1"/>
    <col min="6" max="6" width="7.265625" bestFit="1" customWidth="1"/>
    <col min="7" max="7" width="5.265625" bestFit="1" customWidth="1"/>
    <col min="8" max="8" width="4.1328125" bestFit="1" customWidth="1"/>
    <col min="9" max="9" width="9.265625" bestFit="1" customWidth="1"/>
    <col min="10" max="10" width="12.86328125" bestFit="1" customWidth="1"/>
    <col min="11" max="11" width="7.1328125" bestFit="1" customWidth="1"/>
    <col min="12" max="12" width="6.86328125" bestFit="1" customWidth="1"/>
    <col min="13" max="13" width="8.59765625" bestFit="1" customWidth="1"/>
    <col min="14" max="14" width="7.3984375" bestFit="1" customWidth="1"/>
    <col min="15" max="15" width="12" bestFit="1" customWidth="1"/>
    <col min="16" max="16" width="5.59765625" bestFit="1" customWidth="1"/>
  </cols>
  <sheetData>
    <row r="1" spans="1:16" x14ac:dyDescent="0.45">
      <c r="A1" t="s">
        <v>0</v>
      </c>
      <c r="B1" t="s">
        <v>5</v>
      </c>
      <c r="C1" t="s">
        <v>16</v>
      </c>
      <c r="D1" t="s">
        <v>10</v>
      </c>
      <c r="E1" t="s">
        <v>11</v>
      </c>
      <c r="F1" t="s">
        <v>13</v>
      </c>
      <c r="G1" t="s">
        <v>6</v>
      </c>
      <c r="H1" t="s">
        <v>17</v>
      </c>
      <c r="I1" t="s">
        <v>22</v>
      </c>
      <c r="J1" t="s">
        <v>2</v>
      </c>
      <c r="K1" t="s">
        <v>1</v>
      </c>
      <c r="L1" t="s">
        <v>14</v>
      </c>
      <c r="M1" t="s">
        <v>18</v>
      </c>
      <c r="N1" t="s">
        <v>19</v>
      </c>
      <c r="O1" t="s">
        <v>3</v>
      </c>
      <c r="P1" t="s">
        <v>4</v>
      </c>
    </row>
    <row r="2" spans="1:16" x14ac:dyDescent="0.45">
      <c r="A2" t="s">
        <v>5</v>
      </c>
      <c r="B2">
        <v>22</v>
      </c>
      <c r="F2">
        <v>1</v>
      </c>
      <c r="N2">
        <v>2</v>
      </c>
      <c r="P2">
        <f t="shared" ref="P2:P15" si="0">SUM(B2:O2)</f>
        <v>25</v>
      </c>
    </row>
    <row r="3" spans="1:16" x14ac:dyDescent="0.45">
      <c r="A3" t="s">
        <v>16</v>
      </c>
      <c r="C3">
        <v>5</v>
      </c>
      <c r="F3">
        <v>1</v>
      </c>
      <c r="G3">
        <v>6</v>
      </c>
      <c r="P3">
        <f t="shared" si="0"/>
        <v>12</v>
      </c>
    </row>
    <row r="4" spans="1:16" x14ac:dyDescent="0.45">
      <c r="A4" t="s">
        <v>10</v>
      </c>
      <c r="D4">
        <v>3</v>
      </c>
      <c r="F4">
        <v>1</v>
      </c>
      <c r="P4">
        <f t="shared" si="0"/>
        <v>4</v>
      </c>
    </row>
    <row r="5" spans="1:16" x14ac:dyDescent="0.45">
      <c r="A5" t="s">
        <v>11</v>
      </c>
      <c r="P5">
        <f t="shared" si="0"/>
        <v>0</v>
      </c>
    </row>
    <row r="6" spans="1:16" x14ac:dyDescent="0.45">
      <c r="A6" t="s">
        <v>13</v>
      </c>
      <c r="F6">
        <v>16</v>
      </c>
      <c r="H6">
        <v>1</v>
      </c>
      <c r="P6">
        <f t="shared" si="0"/>
        <v>17</v>
      </c>
    </row>
    <row r="7" spans="1:16" x14ac:dyDescent="0.45">
      <c r="A7" t="s">
        <v>6</v>
      </c>
      <c r="G7">
        <v>2</v>
      </c>
      <c r="P7">
        <f t="shared" si="0"/>
        <v>2</v>
      </c>
    </row>
    <row r="8" spans="1:16" x14ac:dyDescent="0.45">
      <c r="A8" t="s">
        <v>17</v>
      </c>
      <c r="P8">
        <f t="shared" si="0"/>
        <v>0</v>
      </c>
    </row>
    <row r="9" spans="1:16" x14ac:dyDescent="0.45">
      <c r="A9" t="s">
        <v>22</v>
      </c>
      <c r="L9">
        <v>1</v>
      </c>
      <c r="P9">
        <f t="shared" si="0"/>
        <v>1</v>
      </c>
    </row>
    <row r="10" spans="1:16" x14ac:dyDescent="0.45">
      <c r="A10" t="s">
        <v>2</v>
      </c>
      <c r="B10">
        <v>1</v>
      </c>
      <c r="N10">
        <v>1</v>
      </c>
      <c r="P10">
        <f t="shared" si="0"/>
        <v>2</v>
      </c>
    </row>
    <row r="11" spans="1:16" x14ac:dyDescent="0.45">
      <c r="A11" t="s">
        <v>1</v>
      </c>
      <c r="K11">
        <v>18</v>
      </c>
      <c r="P11">
        <f t="shared" si="0"/>
        <v>18</v>
      </c>
    </row>
    <row r="12" spans="1:16" x14ac:dyDescent="0.45">
      <c r="A12" t="s">
        <v>14</v>
      </c>
      <c r="L12">
        <v>57</v>
      </c>
      <c r="N12">
        <v>2</v>
      </c>
      <c r="P12">
        <f t="shared" si="0"/>
        <v>59</v>
      </c>
    </row>
    <row r="13" spans="1:16" x14ac:dyDescent="0.45">
      <c r="A13" t="s">
        <v>18</v>
      </c>
      <c r="E13">
        <v>1</v>
      </c>
      <c r="F13">
        <v>2</v>
      </c>
      <c r="M13">
        <f>SUM(42+86)</f>
        <v>128</v>
      </c>
      <c r="O13">
        <v>4</v>
      </c>
      <c r="P13">
        <f t="shared" si="0"/>
        <v>135</v>
      </c>
    </row>
    <row r="14" spans="1:16" x14ac:dyDescent="0.45">
      <c r="A14" t="s">
        <v>19</v>
      </c>
      <c r="P14">
        <f t="shared" si="0"/>
        <v>0</v>
      </c>
    </row>
    <row r="15" spans="1:16" x14ac:dyDescent="0.45">
      <c r="A15" t="s">
        <v>3</v>
      </c>
      <c r="F15">
        <v>1</v>
      </c>
      <c r="I15">
        <v>2</v>
      </c>
      <c r="L15">
        <v>5</v>
      </c>
      <c r="M15">
        <v>4</v>
      </c>
      <c r="O15">
        <v>5</v>
      </c>
      <c r="P15">
        <f t="shared" si="0"/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D48D-09EB-44E7-B37B-189B2F4667B8}">
  <dimension ref="A1:U20"/>
  <sheetViews>
    <sheetView workbookViewId="0">
      <selection activeCell="U20" sqref="U20"/>
    </sheetView>
  </sheetViews>
  <sheetFormatPr defaultRowHeight="14.25" x14ac:dyDescent="0.45"/>
  <cols>
    <col min="1" max="1" width="14.265625" bestFit="1" customWidth="1"/>
    <col min="2" max="2" width="7.7304687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4" bestFit="1" customWidth="1"/>
    <col min="7" max="7" width="6.73046875" bestFit="1" customWidth="1"/>
    <col min="8" max="8" width="7.265625" bestFit="1" customWidth="1"/>
    <col min="9" max="9" width="5.265625" bestFit="1" customWidth="1"/>
    <col min="10" max="10" width="4.59765625" bestFit="1" customWidth="1"/>
    <col min="11" max="11" width="4.1328125" bestFit="1" customWidth="1"/>
    <col min="12" max="12" width="9.265625" bestFit="1" customWidth="1"/>
    <col min="13" max="13" width="12.86328125" bestFit="1" customWidth="1"/>
    <col min="14" max="14" width="7.1328125" bestFit="1" customWidth="1"/>
    <col min="15" max="15" width="6.86328125" bestFit="1" customWidth="1"/>
    <col min="16" max="16" width="8.59765625" bestFit="1" customWidth="1"/>
    <col min="17" max="17" width="7.3984375" bestFit="1" customWidth="1"/>
    <col min="18" max="18" width="6.265625" bestFit="1" customWidth="1"/>
    <col min="19" max="19" width="7.86328125" bestFit="1" customWidth="1"/>
    <col min="20" max="20" width="12" bestFit="1" customWidth="1"/>
    <col min="21" max="21" width="5.59765625" bestFit="1" customWidth="1"/>
  </cols>
  <sheetData>
    <row r="1" spans="1:21" x14ac:dyDescent="0.45">
      <c r="A1" t="s">
        <v>0</v>
      </c>
      <c r="B1" t="s">
        <v>23</v>
      </c>
      <c r="C1" t="s">
        <v>5</v>
      </c>
      <c r="D1" t="s">
        <v>16</v>
      </c>
      <c r="E1" t="s">
        <v>10</v>
      </c>
      <c r="F1" t="s">
        <v>24</v>
      </c>
      <c r="G1" t="s">
        <v>25</v>
      </c>
      <c r="H1" t="s">
        <v>13</v>
      </c>
      <c r="I1" t="s">
        <v>6</v>
      </c>
      <c r="J1" t="s">
        <v>7</v>
      </c>
      <c r="K1" t="s">
        <v>17</v>
      </c>
      <c r="L1" t="s">
        <v>22</v>
      </c>
      <c r="M1" t="s">
        <v>2</v>
      </c>
      <c r="N1" t="s">
        <v>1</v>
      </c>
      <c r="O1" t="s">
        <v>14</v>
      </c>
      <c r="P1" t="s">
        <v>18</v>
      </c>
      <c r="Q1" t="s">
        <v>19</v>
      </c>
      <c r="R1" t="s">
        <v>9</v>
      </c>
      <c r="S1" t="s">
        <v>8</v>
      </c>
      <c r="T1" t="s">
        <v>3</v>
      </c>
      <c r="U1" t="s">
        <v>4</v>
      </c>
    </row>
    <row r="2" spans="1:21" x14ac:dyDescent="0.45">
      <c r="A2" t="s">
        <v>23</v>
      </c>
      <c r="U2">
        <f>SUM(B2:T2)</f>
        <v>0</v>
      </c>
    </row>
    <row r="3" spans="1:21" x14ac:dyDescent="0.45">
      <c r="A3" t="s">
        <v>5</v>
      </c>
      <c r="U3">
        <f>SUM(B3:T3)</f>
        <v>0</v>
      </c>
    </row>
    <row r="4" spans="1:21" x14ac:dyDescent="0.45">
      <c r="A4" t="s">
        <v>16</v>
      </c>
      <c r="U4">
        <f t="shared" ref="U4:U20" si="0">SUM(B4:T4)</f>
        <v>0</v>
      </c>
    </row>
    <row r="5" spans="1:21" x14ac:dyDescent="0.45">
      <c r="A5" t="s">
        <v>10</v>
      </c>
      <c r="U5">
        <f t="shared" si="0"/>
        <v>0</v>
      </c>
    </row>
    <row r="6" spans="1:21" x14ac:dyDescent="0.45">
      <c r="A6" t="s">
        <v>24</v>
      </c>
      <c r="U6">
        <f t="shared" si="0"/>
        <v>0</v>
      </c>
    </row>
    <row r="7" spans="1:21" x14ac:dyDescent="0.45">
      <c r="A7" t="s">
        <v>25</v>
      </c>
      <c r="U7">
        <f t="shared" si="0"/>
        <v>0</v>
      </c>
    </row>
    <row r="8" spans="1:21" x14ac:dyDescent="0.45">
      <c r="A8" t="s">
        <v>13</v>
      </c>
      <c r="E8" s="1" t="s">
        <v>26</v>
      </c>
      <c r="F8" s="1"/>
      <c r="G8" s="1"/>
      <c r="H8" s="1"/>
      <c r="I8" s="1"/>
      <c r="U8">
        <f t="shared" si="0"/>
        <v>0</v>
      </c>
    </row>
    <row r="9" spans="1:21" x14ac:dyDescent="0.45">
      <c r="A9" t="s">
        <v>6</v>
      </c>
      <c r="U9">
        <f t="shared" si="0"/>
        <v>0</v>
      </c>
    </row>
    <row r="10" spans="1:21" x14ac:dyDescent="0.45">
      <c r="A10" t="s">
        <v>7</v>
      </c>
      <c r="U10">
        <f t="shared" si="0"/>
        <v>0</v>
      </c>
    </row>
    <row r="11" spans="1:21" x14ac:dyDescent="0.45">
      <c r="A11" t="s">
        <v>17</v>
      </c>
      <c r="U11">
        <f t="shared" si="0"/>
        <v>0</v>
      </c>
    </row>
    <row r="12" spans="1:21" x14ac:dyDescent="0.45">
      <c r="A12" t="s">
        <v>22</v>
      </c>
      <c r="U12">
        <f t="shared" si="0"/>
        <v>0</v>
      </c>
    </row>
    <row r="13" spans="1:21" x14ac:dyDescent="0.45">
      <c r="A13" t="s">
        <v>2</v>
      </c>
      <c r="U13">
        <f t="shared" si="0"/>
        <v>0</v>
      </c>
    </row>
    <row r="14" spans="1:21" x14ac:dyDescent="0.45">
      <c r="A14" t="s">
        <v>1</v>
      </c>
      <c r="U14">
        <f t="shared" si="0"/>
        <v>0</v>
      </c>
    </row>
    <row r="15" spans="1:21" x14ac:dyDescent="0.45">
      <c r="A15" t="s">
        <v>14</v>
      </c>
      <c r="U15">
        <f t="shared" si="0"/>
        <v>0</v>
      </c>
    </row>
    <row r="16" spans="1:21" x14ac:dyDescent="0.45">
      <c r="A16" t="s">
        <v>18</v>
      </c>
      <c r="U16">
        <f t="shared" si="0"/>
        <v>0</v>
      </c>
    </row>
    <row r="17" spans="1:21" x14ac:dyDescent="0.45">
      <c r="A17" t="s">
        <v>19</v>
      </c>
      <c r="U17">
        <f t="shared" si="0"/>
        <v>0</v>
      </c>
    </row>
    <row r="18" spans="1:21" x14ac:dyDescent="0.45">
      <c r="A18" t="s">
        <v>9</v>
      </c>
      <c r="U18">
        <f t="shared" si="0"/>
        <v>0</v>
      </c>
    </row>
    <row r="19" spans="1:21" x14ac:dyDescent="0.45">
      <c r="A19" t="s">
        <v>8</v>
      </c>
      <c r="U19">
        <f t="shared" si="0"/>
        <v>0</v>
      </c>
    </row>
    <row r="20" spans="1:21" x14ac:dyDescent="0.45">
      <c r="A20" t="s">
        <v>3</v>
      </c>
      <c r="U20">
        <f t="shared" si="0"/>
        <v>0</v>
      </c>
    </row>
  </sheetData>
  <mergeCells count="1">
    <mergeCell ref="E8:I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5321-8B01-4DE9-B040-23E1FED8F009}">
  <dimension ref="A1:V21"/>
  <sheetViews>
    <sheetView workbookViewId="0">
      <selection activeCell="W16" sqref="W16"/>
    </sheetView>
  </sheetViews>
  <sheetFormatPr defaultRowHeight="14.25" x14ac:dyDescent="0.45"/>
  <cols>
    <col min="1" max="1" width="14.265625" bestFit="1" customWidth="1"/>
    <col min="2" max="2" width="9.59765625" bestFit="1" customWidth="1"/>
    <col min="3" max="3" width="7.73046875" bestFit="1" customWidth="1"/>
    <col min="4" max="4" width="4.73046875" bestFit="1" customWidth="1"/>
    <col min="5" max="5" width="5.1328125" bestFit="1" customWidth="1"/>
    <col min="6" max="6" width="7.265625" bestFit="1" customWidth="1"/>
    <col min="7" max="7" width="6.73046875" bestFit="1" customWidth="1"/>
    <col min="8" max="8" width="7.265625" bestFit="1" customWidth="1"/>
    <col min="9" max="9" width="5.265625" bestFit="1" customWidth="1"/>
    <col min="10" max="10" width="4.59765625" bestFit="1" customWidth="1"/>
    <col min="11" max="11" width="4.1328125" bestFit="1" customWidth="1"/>
    <col min="12" max="12" width="9.265625" bestFit="1" customWidth="1"/>
    <col min="13" max="13" width="12.86328125" bestFit="1" customWidth="1"/>
    <col min="14" max="14" width="7.1328125" bestFit="1" customWidth="1"/>
    <col min="15" max="15" width="6.86328125" bestFit="1" customWidth="1"/>
    <col min="16" max="16" width="8.59765625" bestFit="1" customWidth="1"/>
    <col min="17" max="17" width="7.3984375" bestFit="1" customWidth="1"/>
    <col min="18" max="18" width="6.265625" bestFit="1" customWidth="1"/>
    <col min="19" max="19" width="7.86328125" bestFit="1" customWidth="1"/>
    <col min="20" max="20" width="12" bestFit="1" customWidth="1"/>
    <col min="21" max="21" width="7.59765625" bestFit="1" customWidth="1"/>
    <col min="22" max="22" width="5.59765625" bestFit="1" customWidth="1"/>
  </cols>
  <sheetData>
    <row r="1" spans="1:22" x14ac:dyDescent="0.45">
      <c r="A1" t="s">
        <v>0</v>
      </c>
      <c r="B1" t="s">
        <v>15</v>
      </c>
      <c r="C1" t="s">
        <v>23</v>
      </c>
      <c r="D1" t="s">
        <v>5</v>
      </c>
      <c r="E1" t="s">
        <v>16</v>
      </c>
      <c r="F1" t="s">
        <v>10</v>
      </c>
      <c r="G1" t="s">
        <v>25</v>
      </c>
      <c r="H1" t="s">
        <v>13</v>
      </c>
      <c r="I1" t="s">
        <v>6</v>
      </c>
      <c r="J1" t="s">
        <v>7</v>
      </c>
      <c r="K1" t="s">
        <v>17</v>
      </c>
      <c r="L1" t="s">
        <v>22</v>
      </c>
      <c r="M1" t="s">
        <v>2</v>
      </c>
      <c r="N1" t="s">
        <v>1</v>
      </c>
      <c r="O1" t="s">
        <v>14</v>
      </c>
      <c r="P1" t="s">
        <v>18</v>
      </c>
      <c r="Q1" t="s">
        <v>19</v>
      </c>
      <c r="R1" t="s">
        <v>9</v>
      </c>
      <c r="S1" t="s">
        <v>8</v>
      </c>
      <c r="T1" t="s">
        <v>3</v>
      </c>
      <c r="U1" t="s">
        <v>27</v>
      </c>
      <c r="V1" t="s">
        <v>4</v>
      </c>
    </row>
    <row r="2" spans="1:22" x14ac:dyDescent="0.45">
      <c r="A2" t="s">
        <v>15</v>
      </c>
      <c r="M2">
        <v>1</v>
      </c>
      <c r="T2">
        <v>1</v>
      </c>
      <c r="V2">
        <f>SUM(B2:U2)</f>
        <v>2</v>
      </c>
    </row>
    <row r="3" spans="1:22" x14ac:dyDescent="0.45">
      <c r="A3" t="s">
        <v>23</v>
      </c>
      <c r="V3">
        <f t="shared" ref="V3:V20" si="0">SUM(B3:U3)</f>
        <v>0</v>
      </c>
    </row>
    <row r="4" spans="1:22" x14ac:dyDescent="0.45">
      <c r="A4" t="s">
        <v>5</v>
      </c>
      <c r="D4">
        <v>21</v>
      </c>
      <c r="E4">
        <v>1</v>
      </c>
      <c r="G4">
        <v>5</v>
      </c>
      <c r="I4">
        <v>2</v>
      </c>
      <c r="V4">
        <f t="shared" si="0"/>
        <v>29</v>
      </c>
    </row>
    <row r="5" spans="1:22" x14ac:dyDescent="0.45">
      <c r="A5" t="s">
        <v>16</v>
      </c>
      <c r="E5">
        <v>131</v>
      </c>
      <c r="F5">
        <v>1</v>
      </c>
      <c r="H5">
        <v>24</v>
      </c>
      <c r="I5">
        <v>11</v>
      </c>
      <c r="J5">
        <v>3</v>
      </c>
      <c r="K5">
        <v>1</v>
      </c>
      <c r="L5">
        <v>2</v>
      </c>
      <c r="M5">
        <v>10</v>
      </c>
      <c r="O5">
        <v>6</v>
      </c>
      <c r="P5">
        <v>7</v>
      </c>
      <c r="R5">
        <v>11</v>
      </c>
      <c r="T5">
        <v>18</v>
      </c>
      <c r="V5">
        <f t="shared" si="0"/>
        <v>225</v>
      </c>
    </row>
    <row r="6" spans="1:22" x14ac:dyDescent="0.45">
      <c r="A6" t="s">
        <v>10</v>
      </c>
      <c r="F6">
        <v>15</v>
      </c>
      <c r="V6">
        <f t="shared" si="0"/>
        <v>15</v>
      </c>
    </row>
    <row r="7" spans="1:22" x14ac:dyDescent="0.45">
      <c r="A7" t="s">
        <v>25</v>
      </c>
      <c r="V7">
        <f t="shared" si="0"/>
        <v>0</v>
      </c>
    </row>
    <row r="8" spans="1:22" x14ac:dyDescent="0.45">
      <c r="A8" t="s">
        <v>13</v>
      </c>
      <c r="H8">
        <v>30</v>
      </c>
      <c r="V8">
        <f t="shared" si="0"/>
        <v>30</v>
      </c>
    </row>
    <row r="9" spans="1:22" x14ac:dyDescent="0.45">
      <c r="A9" t="s">
        <v>6</v>
      </c>
      <c r="I9">
        <v>3</v>
      </c>
      <c r="O9">
        <v>1</v>
      </c>
      <c r="V9">
        <f t="shared" si="0"/>
        <v>4</v>
      </c>
    </row>
    <row r="10" spans="1:22" x14ac:dyDescent="0.45">
      <c r="A10" t="s">
        <v>7</v>
      </c>
      <c r="J10">
        <v>2</v>
      </c>
      <c r="V10">
        <f t="shared" si="0"/>
        <v>2</v>
      </c>
    </row>
    <row r="11" spans="1:22" x14ac:dyDescent="0.45">
      <c r="A11" t="s">
        <v>17</v>
      </c>
      <c r="V11">
        <f t="shared" si="0"/>
        <v>0</v>
      </c>
    </row>
    <row r="12" spans="1:22" x14ac:dyDescent="0.45">
      <c r="A12" t="s">
        <v>22</v>
      </c>
      <c r="L12">
        <v>2</v>
      </c>
      <c r="V12">
        <f t="shared" si="0"/>
        <v>2</v>
      </c>
    </row>
    <row r="13" spans="1:22" x14ac:dyDescent="0.45">
      <c r="A13" t="s">
        <v>2</v>
      </c>
      <c r="C13">
        <v>70</v>
      </c>
      <c r="G13">
        <v>6</v>
      </c>
      <c r="H13">
        <v>17</v>
      </c>
      <c r="I13">
        <v>5</v>
      </c>
      <c r="M13">
        <v>1</v>
      </c>
      <c r="O13">
        <v>2</v>
      </c>
      <c r="P13">
        <v>1</v>
      </c>
      <c r="Q13">
        <v>26</v>
      </c>
      <c r="S13">
        <v>1</v>
      </c>
      <c r="T13">
        <v>65</v>
      </c>
      <c r="V13">
        <f t="shared" si="0"/>
        <v>194</v>
      </c>
    </row>
    <row r="14" spans="1:22" x14ac:dyDescent="0.45">
      <c r="A14" t="s">
        <v>1</v>
      </c>
      <c r="N14">
        <v>8</v>
      </c>
      <c r="T14">
        <v>1</v>
      </c>
      <c r="V14">
        <f t="shared" si="0"/>
        <v>9</v>
      </c>
    </row>
    <row r="15" spans="1:22" x14ac:dyDescent="0.45">
      <c r="A15" t="s">
        <v>14</v>
      </c>
      <c r="H15">
        <v>2</v>
      </c>
      <c r="O15">
        <v>219</v>
      </c>
      <c r="P15">
        <v>2</v>
      </c>
      <c r="Q15">
        <v>2</v>
      </c>
      <c r="T15">
        <v>5</v>
      </c>
      <c r="U15">
        <v>2</v>
      </c>
      <c r="V15">
        <f t="shared" si="0"/>
        <v>232</v>
      </c>
    </row>
    <row r="16" spans="1:22" x14ac:dyDescent="0.45">
      <c r="A16" t="s">
        <v>18</v>
      </c>
      <c r="O16">
        <v>3</v>
      </c>
      <c r="P16">
        <v>80</v>
      </c>
      <c r="R16">
        <v>1</v>
      </c>
      <c r="V16">
        <f t="shared" si="0"/>
        <v>84</v>
      </c>
    </row>
    <row r="17" spans="1:22" x14ac:dyDescent="0.45">
      <c r="A17" t="s">
        <v>19</v>
      </c>
      <c r="V17">
        <f t="shared" si="0"/>
        <v>0</v>
      </c>
    </row>
    <row r="18" spans="1:22" x14ac:dyDescent="0.45">
      <c r="A18" t="s">
        <v>9</v>
      </c>
      <c r="V18">
        <f t="shared" si="0"/>
        <v>0</v>
      </c>
    </row>
    <row r="19" spans="1:22" x14ac:dyDescent="0.45">
      <c r="A19" t="s">
        <v>8</v>
      </c>
      <c r="V19">
        <f t="shared" si="0"/>
        <v>0</v>
      </c>
    </row>
    <row r="20" spans="1:22" x14ac:dyDescent="0.45">
      <c r="A20" t="s">
        <v>3</v>
      </c>
      <c r="C20">
        <v>1</v>
      </c>
      <c r="D20">
        <v>3</v>
      </c>
      <c r="E20">
        <v>1</v>
      </c>
      <c r="H20">
        <v>2</v>
      </c>
      <c r="L20">
        <v>1</v>
      </c>
      <c r="M20">
        <v>3</v>
      </c>
      <c r="O20">
        <v>2</v>
      </c>
      <c r="P20">
        <v>4</v>
      </c>
      <c r="R20">
        <v>2</v>
      </c>
      <c r="T20">
        <v>8</v>
      </c>
      <c r="V20">
        <f t="shared" si="0"/>
        <v>27</v>
      </c>
    </row>
    <row r="21" spans="1:22" x14ac:dyDescent="0.45">
      <c r="A21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B1ED-E23E-45EC-9205-72DA5BA98AD8}">
  <dimension ref="A1:J9"/>
  <sheetViews>
    <sheetView workbookViewId="0">
      <selection activeCell="I24" sqref="I24"/>
    </sheetView>
  </sheetViews>
  <sheetFormatPr defaultRowHeight="14.25" x14ac:dyDescent="0.45"/>
  <cols>
    <col min="1" max="1" width="14.265625" bestFit="1" customWidth="1"/>
    <col min="2" max="2" width="4.73046875" bestFit="1" customWidth="1"/>
    <col min="3" max="3" width="5.1328125" bestFit="1" customWidth="1"/>
    <col min="4" max="4" width="7.265625" bestFit="1" customWidth="1"/>
    <col min="5" max="5" width="5.265625" bestFit="1" customWidth="1"/>
    <col min="6" max="6" width="4.59765625" bestFit="1" customWidth="1"/>
    <col min="7" max="7" width="7.1328125" bestFit="1" customWidth="1"/>
    <col min="8" max="8" width="8.59765625" bestFit="1" customWidth="1"/>
    <col min="9" max="9" width="12" bestFit="1" customWidth="1"/>
    <col min="10" max="10" width="5.59765625" bestFit="1" customWidth="1"/>
  </cols>
  <sheetData>
    <row r="1" spans="1:10" x14ac:dyDescent="0.45">
      <c r="A1" t="s">
        <v>0</v>
      </c>
      <c r="B1" t="s">
        <v>5</v>
      </c>
      <c r="C1" t="s">
        <v>16</v>
      </c>
      <c r="D1" t="s">
        <v>13</v>
      </c>
      <c r="E1" t="s">
        <v>6</v>
      </c>
      <c r="F1" t="s">
        <v>7</v>
      </c>
      <c r="G1" t="s">
        <v>1</v>
      </c>
      <c r="H1" t="s">
        <v>18</v>
      </c>
      <c r="I1" t="s">
        <v>3</v>
      </c>
      <c r="J1" t="s">
        <v>4</v>
      </c>
    </row>
    <row r="2" spans="1:10" x14ac:dyDescent="0.45">
      <c r="A2" t="s">
        <v>5</v>
      </c>
      <c r="B2">
        <v>2</v>
      </c>
      <c r="I2">
        <v>1</v>
      </c>
      <c r="J2">
        <f t="shared" ref="J2:J9" si="0">SUM(B2:I2)</f>
        <v>3</v>
      </c>
    </row>
    <row r="3" spans="1:10" x14ac:dyDescent="0.45">
      <c r="A3" t="s">
        <v>16</v>
      </c>
      <c r="C3">
        <v>1</v>
      </c>
      <c r="H3">
        <v>1</v>
      </c>
      <c r="I3">
        <v>1</v>
      </c>
      <c r="J3">
        <f t="shared" si="0"/>
        <v>3</v>
      </c>
    </row>
    <row r="4" spans="1:10" x14ac:dyDescent="0.45">
      <c r="A4" t="s">
        <v>13</v>
      </c>
      <c r="D4">
        <v>1</v>
      </c>
      <c r="J4">
        <f t="shared" si="0"/>
        <v>1</v>
      </c>
    </row>
    <row r="5" spans="1:10" x14ac:dyDescent="0.45">
      <c r="A5" t="s">
        <v>6</v>
      </c>
      <c r="E5">
        <v>6</v>
      </c>
      <c r="F5">
        <v>1</v>
      </c>
      <c r="J5">
        <f t="shared" si="0"/>
        <v>7</v>
      </c>
    </row>
    <row r="6" spans="1:10" x14ac:dyDescent="0.45">
      <c r="A6" t="s">
        <v>7</v>
      </c>
      <c r="J6">
        <f t="shared" si="0"/>
        <v>0</v>
      </c>
    </row>
    <row r="7" spans="1:10" x14ac:dyDescent="0.45">
      <c r="A7" t="s">
        <v>1</v>
      </c>
      <c r="G7">
        <v>10</v>
      </c>
      <c r="J7">
        <f t="shared" si="0"/>
        <v>10</v>
      </c>
    </row>
    <row r="8" spans="1:10" x14ac:dyDescent="0.45">
      <c r="A8" t="s">
        <v>18</v>
      </c>
      <c r="H8">
        <v>1</v>
      </c>
      <c r="J8">
        <f t="shared" si="0"/>
        <v>1</v>
      </c>
    </row>
    <row r="9" spans="1:10" x14ac:dyDescent="0.45">
      <c r="A9" t="s">
        <v>3</v>
      </c>
      <c r="J9">
        <f t="shared" si="0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B41F-B7C1-4D77-B511-41AB10B11DB6}">
  <dimension ref="A1"/>
  <sheetViews>
    <sheetView workbookViewId="0">
      <selection sqref="A1:Y28"/>
    </sheetView>
  </sheetViews>
  <sheetFormatPr defaultRowHeight="14.25" x14ac:dyDescent="0.45"/>
  <cols>
    <col min="1" max="1" width="14.265625" bestFit="1" customWidth="1"/>
    <col min="2" max="2" width="9.59765625" bestFit="1" customWidth="1"/>
    <col min="3" max="3" width="7.73046875" bestFit="1" customWidth="1"/>
    <col min="4" max="4" width="4.73046875" bestFit="1" customWidth="1"/>
    <col min="5" max="5" width="5.1328125" bestFit="1" customWidth="1"/>
    <col min="6" max="6" width="7.265625" bestFit="1" customWidth="1"/>
    <col min="7" max="7" width="4" bestFit="1" customWidth="1"/>
    <col min="8" max="8" width="6.73046875" bestFit="1" customWidth="1"/>
    <col min="9" max="9" width="7.265625" bestFit="1" customWidth="1"/>
    <col min="10" max="10" width="5" bestFit="1" customWidth="1"/>
    <col min="11" max="11" width="7.265625" bestFit="1" customWidth="1"/>
    <col min="12" max="12" width="5.265625" bestFit="1" customWidth="1"/>
    <col min="13" max="13" width="4.59765625" bestFit="1" customWidth="1"/>
    <col min="14" max="14" width="4.1328125" bestFit="1" customWidth="1"/>
    <col min="15" max="15" width="9.265625" bestFit="1" customWidth="1"/>
    <col min="16" max="16" width="12.86328125" bestFit="1" customWidth="1"/>
    <col min="17" max="17" width="7.1328125" bestFit="1" customWidth="1"/>
    <col min="18" max="18" width="6.86328125" bestFit="1" customWidth="1"/>
    <col min="19" max="19" width="8.59765625" bestFit="1" customWidth="1"/>
    <col min="20" max="20" width="7.265625" bestFit="1" customWidth="1"/>
    <col min="21" max="21" width="7.3984375" bestFit="1" customWidth="1"/>
    <col min="22" max="22" width="6.265625" bestFit="1" customWidth="1"/>
    <col min="23" max="23" width="7.86328125" bestFit="1" customWidth="1"/>
    <col min="24" max="24" width="12" bestFit="1" customWidth="1"/>
    <col min="25" max="25" width="5.59765625" bestFit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30A0-F9D7-4BFD-BD5E-74C914900FD9}">
  <dimension ref="A1:R17"/>
  <sheetViews>
    <sheetView tabSelected="1" workbookViewId="0">
      <selection activeCell="R9" sqref="R9"/>
    </sheetView>
  </sheetViews>
  <sheetFormatPr defaultRowHeight="14.25" x14ac:dyDescent="0.45"/>
  <cols>
    <col min="1" max="1" width="14.86328125" bestFit="1" customWidth="1"/>
    <col min="2" max="2" width="4.73046875" bestFit="1" customWidth="1"/>
    <col min="3" max="3" width="5.1328125" bestFit="1" customWidth="1"/>
    <col min="4" max="4" width="7.265625" bestFit="1" customWidth="1"/>
    <col min="5" max="5" width="4" bestFit="1" customWidth="1"/>
    <col min="6" max="6" width="7.265625" bestFit="1" customWidth="1"/>
    <col min="7" max="7" width="5.265625" bestFit="1" customWidth="1"/>
    <col min="8" max="8" width="4.59765625" bestFit="1" customWidth="1"/>
    <col min="9" max="9" width="4.1328125" bestFit="1" customWidth="1"/>
    <col min="10" max="10" width="9.265625" bestFit="1" customWidth="1"/>
    <col min="11" max="11" width="12.86328125" bestFit="1" customWidth="1"/>
    <col min="12" max="12" width="7.1328125" bestFit="1" customWidth="1"/>
    <col min="13" max="13" width="6.86328125" bestFit="1" customWidth="1"/>
    <col min="14" max="14" width="8.59765625" bestFit="1" customWidth="1"/>
    <col min="15" max="15" width="7.3984375" bestFit="1" customWidth="1"/>
    <col min="16" max="16" width="6.265625" bestFit="1" customWidth="1"/>
    <col min="17" max="17" width="12" bestFit="1" customWidth="1"/>
    <col min="18" max="18" width="5.59765625" bestFit="1" customWidth="1"/>
  </cols>
  <sheetData>
    <row r="1" spans="1:18" x14ac:dyDescent="0.45">
      <c r="A1" t="s">
        <v>28</v>
      </c>
      <c r="B1" t="s">
        <v>5</v>
      </c>
      <c r="C1" t="s">
        <v>16</v>
      </c>
      <c r="D1" t="s">
        <v>10</v>
      </c>
      <c r="E1" t="s">
        <v>24</v>
      </c>
      <c r="F1" t="s">
        <v>13</v>
      </c>
      <c r="G1" t="s">
        <v>6</v>
      </c>
      <c r="H1" t="s">
        <v>7</v>
      </c>
      <c r="I1" t="s">
        <v>17</v>
      </c>
      <c r="J1" t="s">
        <v>22</v>
      </c>
      <c r="K1" t="s">
        <v>2</v>
      </c>
      <c r="L1" t="s">
        <v>1</v>
      </c>
      <c r="M1" t="s">
        <v>14</v>
      </c>
      <c r="N1" t="s">
        <v>18</v>
      </c>
      <c r="O1" t="s">
        <v>19</v>
      </c>
      <c r="P1" t="s">
        <v>9</v>
      </c>
      <c r="Q1" t="s">
        <v>3</v>
      </c>
      <c r="R1" t="s">
        <v>4</v>
      </c>
    </row>
    <row r="2" spans="1:18" x14ac:dyDescent="0.45">
      <c r="A2" t="s">
        <v>5</v>
      </c>
      <c r="B2">
        <v>25</v>
      </c>
      <c r="R2">
        <f t="shared" ref="R2:R17" si="0">SUM(B2:Q2)</f>
        <v>25</v>
      </c>
    </row>
    <row r="3" spans="1:18" x14ac:dyDescent="0.45">
      <c r="A3" t="s">
        <v>16</v>
      </c>
      <c r="C3">
        <v>59</v>
      </c>
      <c r="G3">
        <v>3</v>
      </c>
      <c r="K3">
        <v>1</v>
      </c>
      <c r="O3">
        <v>1</v>
      </c>
      <c r="P3">
        <v>1</v>
      </c>
      <c r="Q3">
        <v>9</v>
      </c>
      <c r="R3">
        <f t="shared" si="0"/>
        <v>74</v>
      </c>
    </row>
    <row r="4" spans="1:18" x14ac:dyDescent="0.45">
      <c r="A4" t="s">
        <v>10</v>
      </c>
      <c r="D4">
        <v>13</v>
      </c>
      <c r="Q4">
        <v>1</v>
      </c>
      <c r="R4">
        <f t="shared" si="0"/>
        <v>14</v>
      </c>
    </row>
    <row r="5" spans="1:18" x14ac:dyDescent="0.45">
      <c r="A5" t="s">
        <v>24</v>
      </c>
      <c r="R5">
        <f t="shared" si="0"/>
        <v>0</v>
      </c>
    </row>
    <row r="6" spans="1:18" x14ac:dyDescent="0.45">
      <c r="A6" t="s">
        <v>13</v>
      </c>
      <c r="F6">
        <v>224</v>
      </c>
      <c r="H6">
        <v>2</v>
      </c>
      <c r="I6">
        <v>1</v>
      </c>
      <c r="J6">
        <v>1</v>
      </c>
      <c r="O6">
        <v>1</v>
      </c>
      <c r="Q6">
        <v>1</v>
      </c>
      <c r="R6">
        <f t="shared" si="0"/>
        <v>230</v>
      </c>
    </row>
    <row r="7" spans="1:18" x14ac:dyDescent="0.45">
      <c r="A7" t="s">
        <v>6</v>
      </c>
      <c r="G7">
        <v>23</v>
      </c>
      <c r="Q7">
        <v>1</v>
      </c>
      <c r="R7">
        <f t="shared" si="0"/>
        <v>24</v>
      </c>
    </row>
    <row r="8" spans="1:18" x14ac:dyDescent="0.45">
      <c r="A8" t="s">
        <v>7</v>
      </c>
      <c r="R8">
        <f t="shared" si="0"/>
        <v>0</v>
      </c>
    </row>
    <row r="9" spans="1:18" x14ac:dyDescent="0.45">
      <c r="A9" t="s">
        <v>17</v>
      </c>
      <c r="R9">
        <f t="shared" si="0"/>
        <v>0</v>
      </c>
    </row>
    <row r="10" spans="1:18" x14ac:dyDescent="0.45">
      <c r="A10" t="s">
        <v>22</v>
      </c>
      <c r="J10">
        <v>1</v>
      </c>
      <c r="R10">
        <f t="shared" si="0"/>
        <v>1</v>
      </c>
    </row>
    <row r="11" spans="1:18" x14ac:dyDescent="0.45">
      <c r="A11" t="s">
        <v>2</v>
      </c>
      <c r="F11">
        <v>1</v>
      </c>
      <c r="N11">
        <v>18</v>
      </c>
      <c r="O11">
        <v>1</v>
      </c>
      <c r="P11">
        <v>1</v>
      </c>
      <c r="Q11">
        <v>41</v>
      </c>
      <c r="R11">
        <f t="shared" si="0"/>
        <v>62</v>
      </c>
    </row>
    <row r="12" spans="1:18" x14ac:dyDescent="0.45">
      <c r="A12" t="s">
        <v>1</v>
      </c>
      <c r="L12">
        <v>3</v>
      </c>
      <c r="R12">
        <f t="shared" si="0"/>
        <v>3</v>
      </c>
    </row>
    <row r="13" spans="1:18" x14ac:dyDescent="0.45">
      <c r="A13" t="s">
        <v>14</v>
      </c>
      <c r="M13">
        <v>4</v>
      </c>
      <c r="R13">
        <f t="shared" si="0"/>
        <v>4</v>
      </c>
    </row>
    <row r="14" spans="1:18" x14ac:dyDescent="0.45">
      <c r="A14" t="s">
        <v>18</v>
      </c>
      <c r="N14">
        <v>225</v>
      </c>
      <c r="R14">
        <f t="shared" si="0"/>
        <v>225</v>
      </c>
    </row>
    <row r="15" spans="1:18" x14ac:dyDescent="0.45">
      <c r="A15" t="s">
        <v>19</v>
      </c>
      <c r="R15">
        <f t="shared" si="0"/>
        <v>0</v>
      </c>
    </row>
    <row r="16" spans="1:18" x14ac:dyDescent="0.45">
      <c r="A16" t="s">
        <v>9</v>
      </c>
      <c r="R16">
        <f t="shared" si="0"/>
        <v>0</v>
      </c>
    </row>
    <row r="17" spans="1:18" x14ac:dyDescent="0.45">
      <c r="A17" t="s">
        <v>3</v>
      </c>
      <c r="E17">
        <v>1</v>
      </c>
      <c r="F17">
        <v>1</v>
      </c>
      <c r="G17">
        <v>1</v>
      </c>
      <c r="M17">
        <v>2</v>
      </c>
      <c r="N17">
        <v>2</v>
      </c>
      <c r="O17">
        <v>2</v>
      </c>
      <c r="Q17">
        <v>14</v>
      </c>
      <c r="R17">
        <f t="shared" si="0"/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73B3-AEE3-4DEF-B118-04E3BBE4270B}">
  <dimension ref="A1:R16"/>
  <sheetViews>
    <sheetView workbookViewId="0">
      <selection activeCell="V26" sqref="V26"/>
    </sheetView>
  </sheetViews>
  <sheetFormatPr defaultRowHeight="14.25" x14ac:dyDescent="0.45"/>
  <cols>
    <col min="1" max="1" width="14.265625" bestFit="1" customWidth="1"/>
    <col min="2" max="2" width="9.5976562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6.73046875" bestFit="1" customWidth="1"/>
    <col min="7" max="7" width="7.265625" bestFit="1" customWidth="1"/>
    <col min="8" max="8" width="5.265625" bestFit="1" customWidth="1"/>
    <col min="9" max="9" width="4.59765625" bestFit="1" customWidth="1"/>
    <col min="10" max="10" width="12.86328125" bestFit="1" customWidth="1"/>
    <col min="11" max="11" width="7.1328125" bestFit="1" customWidth="1"/>
    <col min="12" max="12" width="6.86328125" bestFit="1" customWidth="1"/>
    <col min="13" max="13" width="8.59765625" bestFit="1" customWidth="1"/>
    <col min="14" max="14" width="7.3984375" bestFit="1" customWidth="1"/>
    <col min="15" max="15" width="6.265625" bestFit="1" customWidth="1"/>
    <col min="16" max="16" width="7.86328125" bestFit="1" customWidth="1"/>
    <col min="17" max="17" width="12" bestFit="1" customWidth="1"/>
    <col min="18" max="18" width="5.59765625" bestFit="1" customWidth="1"/>
  </cols>
  <sheetData>
    <row r="1" spans="1:18" x14ac:dyDescent="0.45">
      <c r="A1" t="s">
        <v>0</v>
      </c>
      <c r="B1" t="s">
        <v>15</v>
      </c>
      <c r="C1" t="s">
        <v>5</v>
      </c>
      <c r="D1" t="s">
        <v>16</v>
      </c>
      <c r="E1" t="s">
        <v>10</v>
      </c>
      <c r="F1" t="s">
        <v>25</v>
      </c>
      <c r="G1" t="s">
        <v>13</v>
      </c>
      <c r="H1" t="s">
        <v>6</v>
      </c>
      <c r="I1" t="s">
        <v>7</v>
      </c>
      <c r="J1" t="s">
        <v>2</v>
      </c>
      <c r="K1" t="s">
        <v>1</v>
      </c>
      <c r="L1" t="s">
        <v>14</v>
      </c>
      <c r="M1" t="s">
        <v>18</v>
      </c>
      <c r="N1" t="s">
        <v>19</v>
      </c>
      <c r="O1" t="s">
        <v>9</v>
      </c>
      <c r="P1" t="s">
        <v>8</v>
      </c>
      <c r="Q1" t="s">
        <v>3</v>
      </c>
      <c r="R1" t="s">
        <v>4</v>
      </c>
    </row>
    <row r="2" spans="1:18" x14ac:dyDescent="0.45">
      <c r="A2" t="s">
        <v>15</v>
      </c>
      <c r="J2">
        <v>3</v>
      </c>
      <c r="R2">
        <f t="shared" ref="R2:R16" si="0">SUM(B2:Q2)</f>
        <v>3</v>
      </c>
    </row>
    <row r="3" spans="1:18" x14ac:dyDescent="0.45">
      <c r="A3" t="s">
        <v>5</v>
      </c>
      <c r="C3">
        <v>3</v>
      </c>
      <c r="R3">
        <f t="shared" si="0"/>
        <v>3</v>
      </c>
    </row>
    <row r="4" spans="1:18" x14ac:dyDescent="0.45">
      <c r="A4" t="s">
        <v>16</v>
      </c>
      <c r="D4">
        <v>30</v>
      </c>
      <c r="J4">
        <v>1</v>
      </c>
      <c r="K4">
        <v>1</v>
      </c>
      <c r="M4">
        <v>2</v>
      </c>
      <c r="O4">
        <v>2</v>
      </c>
      <c r="Q4">
        <v>1</v>
      </c>
      <c r="R4">
        <f t="shared" si="0"/>
        <v>37</v>
      </c>
    </row>
    <row r="5" spans="1:18" x14ac:dyDescent="0.45">
      <c r="A5" t="s">
        <v>10</v>
      </c>
      <c r="E5">
        <v>1</v>
      </c>
      <c r="R5">
        <f t="shared" si="0"/>
        <v>1</v>
      </c>
    </row>
    <row r="6" spans="1:18" x14ac:dyDescent="0.45">
      <c r="A6" t="s">
        <v>25</v>
      </c>
      <c r="R6">
        <f t="shared" si="0"/>
        <v>0</v>
      </c>
    </row>
    <row r="7" spans="1:18" x14ac:dyDescent="0.45">
      <c r="A7" t="s">
        <v>13</v>
      </c>
      <c r="G7">
        <v>8</v>
      </c>
      <c r="R7">
        <f t="shared" si="0"/>
        <v>8</v>
      </c>
    </row>
    <row r="8" spans="1:18" x14ac:dyDescent="0.45">
      <c r="A8" t="s">
        <v>6</v>
      </c>
      <c r="H8">
        <v>2</v>
      </c>
      <c r="R8">
        <f t="shared" si="0"/>
        <v>2</v>
      </c>
    </row>
    <row r="9" spans="1:18" x14ac:dyDescent="0.45">
      <c r="A9" t="s">
        <v>7</v>
      </c>
      <c r="R9">
        <f t="shared" si="0"/>
        <v>0</v>
      </c>
    </row>
    <row r="10" spans="1:18" x14ac:dyDescent="0.45">
      <c r="A10" t="s">
        <v>2</v>
      </c>
      <c r="C10">
        <v>17</v>
      </c>
      <c r="E10">
        <v>5</v>
      </c>
      <c r="F10">
        <v>10</v>
      </c>
      <c r="G10">
        <v>17</v>
      </c>
      <c r="H10">
        <v>2</v>
      </c>
      <c r="I10">
        <v>2</v>
      </c>
      <c r="L10">
        <v>6</v>
      </c>
      <c r="M10">
        <v>3</v>
      </c>
      <c r="N10">
        <v>46</v>
      </c>
      <c r="P10">
        <v>1</v>
      </c>
      <c r="Q10">
        <v>145</v>
      </c>
      <c r="R10">
        <f t="shared" si="0"/>
        <v>254</v>
      </c>
    </row>
    <row r="11" spans="1:18" x14ac:dyDescent="0.45">
      <c r="A11" t="s">
        <v>1</v>
      </c>
      <c r="K11">
        <v>2</v>
      </c>
      <c r="R11">
        <f t="shared" si="0"/>
        <v>2</v>
      </c>
    </row>
    <row r="12" spans="1:18" x14ac:dyDescent="0.45">
      <c r="A12" t="s">
        <v>14</v>
      </c>
      <c r="L12">
        <v>14</v>
      </c>
      <c r="M12">
        <v>1</v>
      </c>
      <c r="R12">
        <f t="shared" si="0"/>
        <v>15</v>
      </c>
    </row>
    <row r="13" spans="1:18" x14ac:dyDescent="0.45">
      <c r="A13" t="s">
        <v>18</v>
      </c>
      <c r="M13">
        <v>6</v>
      </c>
      <c r="R13">
        <f t="shared" si="0"/>
        <v>6</v>
      </c>
    </row>
    <row r="14" spans="1:18" x14ac:dyDescent="0.45">
      <c r="A14" t="s">
        <v>29</v>
      </c>
      <c r="R14">
        <f t="shared" si="0"/>
        <v>0</v>
      </c>
    </row>
    <row r="15" spans="1:18" x14ac:dyDescent="0.45">
      <c r="A15" t="s">
        <v>9</v>
      </c>
      <c r="R15">
        <f t="shared" si="0"/>
        <v>0</v>
      </c>
    </row>
    <row r="16" spans="1:18" x14ac:dyDescent="0.45">
      <c r="A16" t="s">
        <v>3</v>
      </c>
      <c r="H16">
        <v>1</v>
      </c>
      <c r="L16">
        <v>1</v>
      </c>
      <c r="M16">
        <v>1</v>
      </c>
      <c r="Q16">
        <v>3</v>
      </c>
      <c r="R16">
        <f t="shared" si="0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Camera 1</vt:lpstr>
      <vt:lpstr>Camera 2</vt:lpstr>
      <vt:lpstr>Camera 3</vt:lpstr>
      <vt:lpstr>Camera 5</vt:lpstr>
      <vt:lpstr>Camera 6</vt:lpstr>
      <vt:lpstr>Camera 7</vt:lpstr>
      <vt:lpstr>Camera 8</vt:lpstr>
      <vt:lpstr>Camera 11</vt:lpstr>
      <vt:lpstr>Camera 12</vt:lpstr>
      <vt:lpstr>Camera 13</vt:lpstr>
      <vt:lpstr>Camera 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Gabino Olalde Sierra</cp:lastModifiedBy>
  <cp:revision/>
  <dcterms:created xsi:type="dcterms:W3CDTF">2026-02-27T18:21:21Z</dcterms:created>
  <dcterms:modified xsi:type="dcterms:W3CDTF">2026-03-08T00:11:54Z</dcterms:modified>
  <cp:category/>
  <cp:contentStatus/>
</cp:coreProperties>
</file>